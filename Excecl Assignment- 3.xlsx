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hidePivotFieldList="1" defaultThemeVersion="166925"/>
  <mc:AlternateContent xmlns:mc="http://schemas.openxmlformats.org/markup-compatibility/2006">
    <mc:Choice Requires="x15">
      <x15ac:absPath xmlns:x15ac="http://schemas.microsoft.com/office/spreadsheetml/2010/11/ac" url="https://d.docs.live.net/8D03C53DC4461A3D/Documents/"/>
    </mc:Choice>
  </mc:AlternateContent>
  <xr:revisionPtr revIDLastSave="0" documentId="14_{294D4E0B-3FAF-48A6-A4F2-D3E447EEF3E1}" xr6:coauthVersionLast="47" xr6:coauthVersionMax="47" xr10:uidLastSave="{00000000-0000-0000-0000-000000000000}"/>
  <bookViews>
    <workbookView xWindow="0" yWindow="0" windowWidth="23040" windowHeight="12240" firstSheet="1" activeTab="1" xr2:uid="{7534E5C1-00EA-4039-920D-97D9A8B4D429}"/>
  </bookViews>
  <sheets>
    <sheet name="Raw Data" sheetId="1" r:id="rId1"/>
    <sheet name="Task 1" sheetId="2" r:id="rId2"/>
    <sheet name="Task 3" sheetId="6" r:id="rId3"/>
    <sheet name="Task 3 Pivot table" sheetId="7" r:id="rId4"/>
    <sheet name="Task 4" sheetId="8" r:id="rId5"/>
    <sheet name="Task 2" sheetId="3" r:id="rId6"/>
    <sheet name="Task 5" sheetId="15" r:id="rId7"/>
    <sheet name="Task 6" sheetId="17" r:id="rId8"/>
  </sheets>
  <definedNames>
    <definedName name="Slicer_City">#N/A</definedName>
    <definedName name="Slicer_Gender">#N/A</definedName>
  </definedNames>
  <calcPr calcId="191029"/>
  <pivotCaches>
    <pivotCache cacheId="0" r:id="rId9"/>
    <pivotCache cacheId="6"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8" l="1"/>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M3" i="8"/>
  <c r="M3" i="6"/>
  <c r="M28" i="6"/>
  <c r="M4" i="6"/>
  <c r="M5" i="6"/>
  <c r="M6" i="6"/>
  <c r="M7" i="6"/>
  <c r="M8" i="6"/>
  <c r="M9" i="6"/>
  <c r="M10" i="6"/>
  <c r="M11" i="6"/>
  <c r="M12" i="6"/>
  <c r="M13" i="6"/>
  <c r="M14" i="6"/>
  <c r="M15" i="6"/>
  <c r="M16" i="6"/>
  <c r="M17" i="6"/>
  <c r="M18" i="6"/>
  <c r="M19" i="6"/>
  <c r="M20" i="6"/>
  <c r="M21" i="6"/>
  <c r="M22" i="6"/>
  <c r="M23" i="6"/>
  <c r="M24" i="6"/>
  <c r="M25" i="6"/>
  <c r="M26" i="6"/>
  <c r="M27" i="6"/>
  <c r="M29" i="6"/>
  <c r="M30" i="6"/>
  <c r="M31" i="6"/>
  <c r="M32" i="6"/>
  <c r="M33" i="6"/>
  <c r="M34" i="6"/>
  <c r="M35" i="6"/>
  <c r="M36" i="6"/>
  <c r="M37" i="6"/>
  <c r="N37" i="6"/>
  <c r="L37" i="6" s="1"/>
  <c r="N36" i="6"/>
  <c r="L36" i="6" s="1"/>
  <c r="N35" i="6"/>
  <c r="L35" i="6" s="1"/>
  <c r="N34" i="6"/>
  <c r="L34" i="6" s="1"/>
  <c r="N33" i="6"/>
  <c r="L33" i="6" s="1"/>
  <c r="N32" i="6"/>
  <c r="L32" i="6" s="1"/>
  <c r="N31" i="6"/>
  <c r="L31" i="6" s="1"/>
  <c r="N30" i="6"/>
  <c r="L30" i="6" s="1"/>
  <c r="N29" i="6"/>
  <c r="L29" i="6" s="1"/>
  <c r="N28" i="6"/>
  <c r="L28" i="6" s="1"/>
  <c r="N27" i="6"/>
  <c r="L27" i="6" s="1"/>
  <c r="N26" i="6"/>
  <c r="L26" i="6" s="1"/>
  <c r="N25" i="6"/>
  <c r="L25" i="6" s="1"/>
  <c r="N24" i="6"/>
  <c r="L24" i="6" s="1"/>
  <c r="N23" i="6"/>
  <c r="L23" i="6" s="1"/>
  <c r="N22" i="6"/>
  <c r="L22" i="6" s="1"/>
  <c r="N21" i="6"/>
  <c r="L21" i="6" s="1"/>
  <c r="N20" i="6"/>
  <c r="L20" i="6" s="1"/>
  <c r="N19" i="6"/>
  <c r="L19" i="6" s="1"/>
  <c r="N18" i="6"/>
  <c r="L18" i="6" s="1"/>
  <c r="N17" i="6"/>
  <c r="L17" i="6" s="1"/>
  <c r="N16" i="6"/>
  <c r="L16" i="6" s="1"/>
  <c r="N15" i="6"/>
  <c r="L15" i="6" s="1"/>
  <c r="N14" i="6"/>
  <c r="L14" i="6" s="1"/>
  <c r="N13" i="6"/>
  <c r="L13" i="6" s="1"/>
  <c r="N12" i="6"/>
  <c r="L12" i="6" s="1"/>
  <c r="N11" i="6"/>
  <c r="L11" i="6" s="1"/>
  <c r="N10" i="6"/>
  <c r="L10" i="6" s="1"/>
  <c r="N9" i="6"/>
  <c r="L9" i="6" s="1"/>
  <c r="N8" i="6"/>
  <c r="L8" i="6" s="1"/>
  <c r="N7" i="6"/>
  <c r="L7" i="6" s="1"/>
  <c r="N6" i="6"/>
  <c r="L6" i="6" s="1"/>
  <c r="N5" i="6"/>
  <c r="L5" i="6" s="1"/>
  <c r="N4" i="6"/>
  <c r="L4" i="6" s="1"/>
  <c r="N3" i="6"/>
  <c r="L3" i="6" s="1"/>
  <c r="L3" i="2"/>
  <c r="M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M37"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alcChain>
</file>

<file path=xl/sharedStrings.xml><?xml version="1.0" encoding="utf-8"?>
<sst xmlns="http://schemas.openxmlformats.org/spreadsheetml/2006/main" count="1037" uniqueCount="124">
  <si>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</si>
  <si>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</si>
  <si>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</si>
  <si>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</si>
  <si>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</si>
  <si>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</si>
  <si>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</si>
  <si>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</si>
  <si>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</si>
  <si>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</si>
  <si>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</si>
  <si>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</si>
  <si>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</si>
  <si>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</si>
  <si>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</si>
  <si>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</si>
  <si>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</si>
  <si>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</si>
  <si>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</si>
  <si>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</si>
  <si>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</si>
  <si>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</si>
  <si>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</si>
  <si>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</si>
  <si>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</si>
  <si>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</si>
  <si>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</si>
  <si>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</si>
  <si>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</si>
  <si>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</si>
  <si>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</si>
  <si>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</si>
  <si>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</si>
  <si>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</si>
  <si>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</si>
  <si>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</si>
  <si>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</si>
  <si>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</si>
  <si>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</si>
  <si>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</si>
  <si>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</si>
  <si>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</si>
  <si>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</si>
  <si>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</si>
  <si>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</si>
  <si>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</si>
  <si>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</si>
  <si>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</si>
  <si>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</si>
  <si>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</si>
  <si>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</si>
  <si>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</si>
  <si>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</si>
  <si>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</si>
  <si>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</si>
  <si>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</si>
  <si>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</si>
  <si>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</si>
  <si>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</si>
  <si>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</si>
  <si>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</si>
  <si>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</si>
  <si>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</si>
  <si>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</si>
  <si>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</si>
  <si>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</si>
  <si>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</si>
  <si>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</si>
  <si>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</si>
  <si>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</si>
  <si>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</si>
  <si>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</si>
  <si>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</si>
  <si>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</si>
  <si>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</si>
  <si>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</si>
  <si>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</si>
  <si>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</si>
  <si>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</si>
  <si>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</si>
  <si>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</si>
  <si>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</si>
  <si>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</si>
  <si>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</si>
  <si>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</si>
  <si>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</si>
  <si>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</si>
  <si>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</si>
  <si>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</si>
  <si>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</si>
  <si>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</si>
  <si>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</si>
  <si>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</si>
  <si>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</si>
  <si>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</si>
  <si>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</si>
  <si>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</si>
  <si>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</si>
  <si>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</si>
  <si>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</si>
  <si>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</si>
  <si>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</si>
  <si>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</si>
  <si>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</si>
  <si>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</si>
  <si>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</si>
  <si>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</si>
  <si>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Column1</t>
  </si>
  <si>
    <t>Membership_Duration_days</t>
  </si>
  <si>
    <t xml:space="preserve">Membership_Duration_months </t>
  </si>
  <si>
    <t>Reffered</t>
  </si>
  <si>
    <t>Yes</t>
  </si>
  <si>
    <t>No</t>
  </si>
  <si>
    <t>Row Labels</t>
  </si>
  <si>
    <t>Grand Total</t>
  </si>
  <si>
    <t>Average of Monthly_Fee</t>
  </si>
  <si>
    <t>Comparison of Average monthly fee for reffered and non reffered</t>
  </si>
  <si>
    <t>Total_Revenue</t>
  </si>
  <si>
    <t>Sum of Total_Revenue</t>
  </si>
  <si>
    <t xml:space="preserve">The highlighted cell here shows the most profitable combination, that is </t>
  </si>
  <si>
    <t>Delhi+Family+No referral</t>
  </si>
  <si>
    <t>Average of Total_Revenue</t>
  </si>
  <si>
    <t xml:space="preserve"> Average revenue per member </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</si>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</sst>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4"/>
      <color theme="1"/>
      <name val="Calibri"/>
      <family val="2"/>
      <scheme val="minor"/>
    </font>
    <font>
      <sz val="11"/>
      <color theme="0"/>
      <name val="Calibri"/>
      <family val="2"/>
      <scheme val="minor"/>
    </font>
    <font>
      <b/>
      <sz val="14"/>
      <color theme="0"/>
      <name val="Calibri"/>
      <family val="2"/>
      <scheme val="minor"/>
    </font>
    <font>
      <sz val="16"/>
      <color theme="0"/>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1"/>
        <bgColor indexed="64"/>
      </patternFill>
    </fill>
    <fill>
      <patternFill patternType="solid">
        <fgColor theme="4" tint="-0.249977111117893"/>
        <bgColor indexed="64"/>
      </patternFill>
    </fill>
    <fill>
      <patternFill patternType="solid">
        <fgColor theme="9" tint="-0.249977111117893"/>
        <bgColor indexed="64"/>
      </patternFill>
    </fill>
  </fills>
  <borders count="2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000000"/>
      </left>
      <right style="medium">
        <color rgb="FFCCCCCC"/>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0">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wrapText="1"/>
    </xf>
    <xf numFmtId="0" fontId="0" fillId="0" borderId="3" xfId="0" applyBorder="1" applyAlignment="1">
      <alignment vertical="top"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xf>
    <xf numFmtId="0" fontId="0" fillId="0" borderId="6" xfId="0" applyBorder="1" applyAlignment="1">
      <alignment wrapText="1"/>
    </xf>
    <xf numFmtId="0" fontId="0" fillId="0" borderId="6" xfId="0" applyBorder="1" applyAlignment="1">
      <alignment horizontal="right" wrapText="1"/>
    </xf>
    <xf numFmtId="14" fontId="0" fillId="0" borderId="6" xfId="0" applyNumberFormat="1" applyBorder="1" applyAlignment="1">
      <alignment horizontal="right" wrapText="1"/>
    </xf>
    <xf numFmtId="0" fontId="0" fillId="0" borderId="7" xfId="0" applyBorder="1" applyAlignment="1">
      <alignment wrapText="1"/>
    </xf>
    <xf numFmtId="0" fontId="0" fillId="0" borderId="0" xfId="0" applyAlignment="1">
      <alignment horizontal="center" vertical="center"/>
    </xf>
    <xf numFmtId="0" fontId="0" fillId="0" borderId="0" xfId="0" applyAlignment="1">
      <alignment horizontal="center"/>
    </xf>
    <xf numFmtId="0" fontId="0" fillId="0" borderId="9" xfId="0" applyBorder="1" applyAlignment="1">
      <alignment horizontal="center" vertical="center" wrapText="1"/>
    </xf>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horizontal="right" wrapText="1"/>
    </xf>
    <xf numFmtId="0" fontId="0" fillId="0" borderId="8" xfId="0" applyBorder="1" applyAlignment="1">
      <alignment vertical="center"/>
    </xf>
    <xf numFmtId="2" fontId="0" fillId="0" borderId="13" xfId="0" applyNumberFormat="1" applyBorder="1" applyAlignment="1">
      <alignment horizontal="center"/>
    </xf>
    <xf numFmtId="0" fontId="0" fillId="0" borderId="14" xfId="0" applyBorder="1" applyAlignment="1">
      <alignment wrapText="1"/>
    </xf>
    <xf numFmtId="0" fontId="0" fillId="0" borderId="15" xfId="0" applyBorder="1" applyAlignment="1">
      <alignment wrapText="1"/>
    </xf>
    <xf numFmtId="0" fontId="0" fillId="0" borderId="15" xfId="0" applyBorder="1" applyAlignment="1">
      <alignment horizontal="right" wrapText="1"/>
    </xf>
    <xf numFmtId="14" fontId="0" fillId="0" borderId="15" xfId="0" applyNumberFormat="1" applyBorder="1" applyAlignment="1">
      <alignment horizontal="right" wrapText="1"/>
    </xf>
    <xf numFmtId="2" fontId="0" fillId="0" borderId="16" xfId="0" applyNumberFormat="1" applyBorder="1" applyAlignment="1">
      <alignment horizontal="center"/>
    </xf>
    <xf numFmtId="0" fontId="1"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0" fontId="0" fillId="3" borderId="8" xfId="0" applyFill="1" applyBorder="1" applyAlignment="1">
      <alignment wrapText="1"/>
    </xf>
    <xf numFmtId="0" fontId="0" fillId="3" borderId="8" xfId="0" applyFill="1" applyBorder="1" applyAlignment="1">
      <alignment horizontal="right" wrapText="1"/>
    </xf>
    <xf numFmtId="0" fontId="0" fillId="3" borderId="8" xfId="0" applyFill="1" applyBorder="1" applyAlignment="1">
      <alignment vertical="center"/>
    </xf>
    <xf numFmtId="0" fontId="0" fillId="4" borderId="8" xfId="0" applyFill="1" applyBorder="1" applyAlignment="1">
      <alignment wrapText="1"/>
    </xf>
    <xf numFmtId="0" fontId="0" fillId="4" borderId="8" xfId="0" applyFill="1" applyBorder="1" applyAlignment="1">
      <alignment horizontal="right" wrapText="1"/>
    </xf>
    <xf numFmtId="0" fontId="0" fillId="4" borderId="8" xfId="0" applyFill="1" applyBorder="1" applyAlignment="1">
      <alignment vertical="center"/>
    </xf>
    <xf numFmtId="0" fontId="0" fillId="0" borderId="8" xfId="0" applyBorder="1"/>
    <xf numFmtId="0" fontId="0" fillId="0" borderId="8" xfId="0" pivotButton="1" applyBorder="1"/>
    <xf numFmtId="0" fontId="0" fillId="0" borderId="8" xfId="0" applyBorder="1" applyAlignment="1">
      <alignment horizontal="left"/>
    </xf>
    <xf numFmtId="0" fontId="0" fillId="5" borderId="0" xfId="0" applyFill="1"/>
    <xf numFmtId="0" fontId="4" fillId="5" borderId="0" xfId="0" applyFont="1" applyFill="1"/>
    <xf numFmtId="0" fontId="2" fillId="0" borderId="9" xfId="0" applyFont="1"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5" fillId="6" borderId="0" xfId="0" applyFont="1" applyFill="1"/>
    <xf numFmtId="0" fontId="6" fillId="6" borderId="0" xfId="0" applyFont="1" applyFill="1"/>
    <xf numFmtId="0" fontId="5" fillId="6" borderId="8" xfId="0" applyFont="1" applyFill="1" applyBorder="1"/>
    <xf numFmtId="0" fontId="5" fillId="6" borderId="8" xfId="0" applyFont="1" applyFill="1" applyBorder="1" applyAlignment="1">
      <alignment horizontal="left"/>
    </xf>
    <xf numFmtId="0" fontId="5" fillId="6" borderId="18" xfId="0" applyFont="1" applyFill="1" applyBorder="1"/>
    <xf numFmtId="0" fontId="5" fillId="6" borderId="19" xfId="0" applyFont="1" applyFill="1" applyBorder="1"/>
    <xf numFmtId="0" fontId="7" fillId="7" borderId="0" xfId="0" applyFont="1" applyFill="1"/>
    <xf numFmtId="0" fontId="5" fillId="7" borderId="0" xfId="0" applyFont="1" applyFill="1"/>
    <xf numFmtId="0" fontId="5" fillId="8" borderId="0" xfId="0" applyFont="1" applyFill="1"/>
    <xf numFmtId="0" fontId="6" fillId="8" borderId="0" xfId="0" applyFont="1" applyFill="1" applyAlignment="1">
      <alignment horizontal="center" vertical="center"/>
    </xf>
    <xf numFmtId="0" fontId="5" fillId="6" borderId="20" xfId="0" applyNumberFormat="1" applyFont="1" applyFill="1" applyBorder="1"/>
    <xf numFmtId="0" fontId="5" fillId="6" borderId="21" xfId="0" applyNumberFormat="1" applyFont="1" applyFill="1" applyBorder="1"/>
    <xf numFmtId="0" fontId="5" fillId="6" borderId="22" xfId="0" applyNumberFormat="1" applyFont="1" applyFill="1" applyBorder="1"/>
    <xf numFmtId="0" fontId="5" fillId="6" borderId="17" xfId="0" applyFont="1" applyFill="1" applyBorder="1"/>
    <xf numFmtId="0" fontId="5" fillId="6" borderId="17" xfId="0" applyFont="1" applyFill="1" applyBorder="1" applyAlignment="1">
      <alignment horizontal="left"/>
    </xf>
    <xf numFmtId="0" fontId="5" fillId="6" borderId="17" xfId="0" applyFont="1" applyFill="1" applyBorder="1" applyAlignment="1">
      <alignment horizontal="left" indent="1"/>
    </xf>
    <xf numFmtId="0" fontId="5" fillId="6" borderId="17" xfId="0" applyFont="1" applyFill="1" applyBorder="1" applyAlignment="1">
      <alignment horizontal="left" indent="2"/>
    </xf>
    <xf numFmtId="0" fontId="5" fillId="6" borderId="20" xfId="0" applyFont="1" applyFill="1" applyBorder="1" applyAlignment="1">
      <alignment horizontal="left" indent="2"/>
    </xf>
    <xf numFmtId="0" fontId="5" fillId="6" borderId="22" xfId="0" applyFont="1" applyFill="1" applyBorder="1" applyAlignment="1">
      <alignment horizontal="left" indent="2"/>
    </xf>
  </cellXfs>
  <cellStyles count="1">
    <cellStyle name="Normal" xfId="0" builtinId="0"/>
  </cellStyles>
  <dxfs count="309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fill>
        <patternFill>
          <bgColor theme="9"/>
        </patternFill>
      </fill>
    </dxf>
    <dxf>
      <font>
        <color theme="1"/>
      </font>
      <fill>
        <patternFill>
          <bgColor theme="9"/>
        </patternFill>
      </fill>
    </dxf>
    <dxf>
      <fill>
        <patternFill>
          <bgColor theme="5" tint="0.39994506668294322"/>
        </patternFill>
      </fill>
    </dxf>
    <dxf>
      <fill>
        <patternFill>
          <bgColor theme="9" tint="0.3999450666829432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right style="medium">
          <color rgb="FFCCCCCC"/>
        </right>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99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[Excecl Assignment- 3.xlsx]Task 5!PivotTable5</c:name>
    <c:fmtId val="5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 5'!$A$4:$A$62</c:f>
              <c:multiLvlStrCache>
                <c:ptCount val="30"/>
                <c:lvl>
                  <c:pt idx="0">
                    <c:v>Yes</c:v>
                  </c:pt>
                  <c:pt idx="1">
                    <c:v>Yes</c:v>
                  </c:pt>
                  <c:pt idx="2">
                    <c:v>No</c:v>
                  </c:pt>
                  <c:pt idx="3">
                    <c:v>No</c:v>
                  </c:pt>
                  <c:pt idx="4">
                    <c:v>Yes</c:v>
                  </c:pt>
                  <c:pt idx="5">
                    <c:v>Yes</c:v>
                  </c:pt>
                  <c:pt idx="6">
                    <c:v>No</c:v>
                  </c:pt>
                  <c:pt idx="7">
                    <c:v>No</c:v>
                  </c:pt>
                  <c:pt idx="8">
                    <c:v>No</c:v>
                  </c:pt>
                  <c:pt idx="9">
                    <c:v>No</c:v>
                  </c:pt>
                  <c:pt idx="10">
                    <c:v>No</c:v>
                  </c:pt>
                  <c:pt idx="11">
                    <c:v>No</c:v>
                  </c:pt>
                  <c:pt idx="12">
                    <c:v>Yes</c:v>
                  </c:pt>
                  <c:pt idx="13">
                    <c:v>Yes</c:v>
                  </c:pt>
                  <c:pt idx="14">
                    <c:v>No</c:v>
                  </c:pt>
                  <c:pt idx="15">
                    <c:v>Yes</c:v>
                  </c:pt>
                  <c:pt idx="16">
                    <c:v>No</c:v>
                  </c:pt>
                  <c:pt idx="17">
                    <c:v>Yes</c:v>
                  </c:pt>
                  <c:pt idx="18">
                    <c:v>No</c:v>
                  </c:pt>
                  <c:pt idx="19">
                    <c:v>Yes</c:v>
                  </c:pt>
                  <c:pt idx="20">
                    <c:v>No</c:v>
                  </c:pt>
                  <c:pt idx="21">
                    <c:v>Yes</c:v>
                  </c:pt>
                  <c:pt idx="22">
                    <c:v>No</c:v>
                  </c:pt>
                  <c:pt idx="23">
                    <c:v>Yes</c:v>
                  </c:pt>
                  <c:pt idx="24">
                    <c:v>No</c:v>
                  </c:pt>
                  <c:pt idx="25">
                    <c:v>Yes</c:v>
                  </c:pt>
                  <c:pt idx="26">
                    <c:v>No</c:v>
                  </c:pt>
                  <c:pt idx="27">
                    <c:v>Yes</c:v>
                  </c:pt>
                  <c:pt idx="28">
                    <c:v>Yes</c:v>
                  </c:pt>
                  <c:pt idx="29">
                    <c:v>No</c:v>
                  </c:pt>
                </c:lvl>
                <c:lvl>
                  <c:pt idx="0">
                    <c:v>Basic</c:v>
                  </c:pt>
                  <c:pt idx="1">
                    <c:v>Family</c:v>
                  </c:pt>
                  <c:pt idx="2">
                    <c:v>Premium</c:v>
                  </c:pt>
                  <c:pt idx="3">
                    <c:v>Standard</c:v>
                  </c:pt>
                  <c:pt idx="5">
                    <c:v>Basic</c:v>
                  </c:pt>
                  <c:pt idx="6">
                    <c:v>Family</c:v>
                  </c:pt>
                  <c:pt idx="7">
                    <c:v>Premium</c:v>
                  </c:pt>
                  <c:pt idx="8">
                    <c:v>Standard</c:v>
                  </c:pt>
                  <c:pt idx="9">
                    <c:v>Basic</c:v>
                  </c:pt>
                  <c:pt idx="10">
                    <c:v>Family</c:v>
                  </c:pt>
                  <c:pt idx="11">
                    <c:v>Standard</c:v>
                  </c:pt>
                  <c:pt idx="13">
                    <c:v>Basic</c:v>
                  </c:pt>
                  <c:pt idx="14">
                    <c:v>Family</c:v>
                  </c:pt>
                  <c:pt idx="16">
                    <c:v>Premium</c:v>
                  </c:pt>
                  <c:pt idx="17">
                    <c:v>Standard</c:v>
                  </c:pt>
                  <c:pt idx="18">
                    <c:v>Basic</c:v>
                  </c:pt>
                  <c:pt idx="20">
                    <c:v>Family</c:v>
                  </c:pt>
                  <c:pt idx="22">
                    <c:v>Premium</c:v>
                  </c:pt>
                  <c:pt idx="24">
                    <c:v>Standard</c:v>
                  </c:pt>
                  <c:pt idx="26">
                    <c:v>Basic</c:v>
                  </c:pt>
                  <c:pt idx="28">
                    <c:v>Premium</c:v>
                  </c:pt>
                  <c:pt idx="29">
                    <c:v>Standard</c:v>
                  </c:pt>
                </c:lvl>
                <c:lvl>
                  <c:pt idx="0">
                    <c:v>Bengaluru</c:v>
                  </c:pt>
                  <c:pt idx="5">
                    <c:v>Delhi</c:v>
                  </c:pt>
                  <c:pt idx="9">
                    <c:v>Hyderabad</c:v>
                  </c:pt>
                  <c:pt idx="13">
                    <c:v>Kolkata</c:v>
                  </c:pt>
                  <c:pt idx="18">
                    <c:v>Mumbai</c:v>
                  </c:pt>
                  <c:pt idx="26">
                    <c:v>Pune</c:v>
                  </c:pt>
                </c:lvl>
              </c:multiLvlStrCache>
            </c:multiLvlStrRef>
          </c:cat>
          <c:val>
            <c:numRef>
              <c:f>'Task 5'!$B$4:$B$62</c:f>
              <c:numCache>
                <c:formatCode>General</c:formatCode>
                <c:ptCount val="30"/>
                <c:pt idx="0">
                  <c:v>5066.6666666666661</c:v>
                </c:pt>
                <c:pt idx="1">
                  <c:v>17916.666666666668</c:v>
                </c:pt>
                <c:pt idx="2">
                  <c:v>17760</c:v>
                </c:pt>
                <c:pt idx="3">
                  <c:v>11640</c:v>
                </c:pt>
                <c:pt idx="4">
                  <c:v>6480</c:v>
                </c:pt>
                <c:pt idx="5">
                  <c:v>15146.666666666666</c:v>
                </c:pt>
                <c:pt idx="6">
                  <c:v>36333.333333333336</c:v>
                </c:pt>
                <c:pt idx="7">
                  <c:v>240</c:v>
                </c:pt>
                <c:pt idx="8">
                  <c:v>1000</c:v>
                </c:pt>
                <c:pt idx="9">
                  <c:v>5520</c:v>
                </c:pt>
                <c:pt idx="10">
                  <c:v>583.33333333333337</c:v>
                </c:pt>
                <c:pt idx="11">
                  <c:v>14240</c:v>
                </c:pt>
                <c:pt idx="12">
                  <c:v>11520</c:v>
                </c:pt>
                <c:pt idx="13">
                  <c:v>346.66666666666669</c:v>
                </c:pt>
                <c:pt idx="14">
                  <c:v>2500</c:v>
                </c:pt>
                <c:pt idx="15">
                  <c:v>6500</c:v>
                </c:pt>
                <c:pt idx="16">
                  <c:v>11880</c:v>
                </c:pt>
                <c:pt idx="17">
                  <c:v>16560</c:v>
                </c:pt>
                <c:pt idx="18">
                  <c:v>9360.0000000000018</c:v>
                </c:pt>
                <c:pt idx="19">
                  <c:v>2000</c:v>
                </c:pt>
                <c:pt idx="20">
                  <c:v>2333.3333333333335</c:v>
                </c:pt>
                <c:pt idx="21">
                  <c:v>15916.666666666666</c:v>
                </c:pt>
                <c:pt idx="22">
                  <c:v>31680.000000000004</c:v>
                </c:pt>
                <c:pt idx="23">
                  <c:v>5160</c:v>
                </c:pt>
                <c:pt idx="24">
                  <c:v>15600</c:v>
                </c:pt>
                <c:pt idx="25">
                  <c:v>3120</c:v>
                </c:pt>
                <c:pt idx="26">
                  <c:v>2373.3333333333335</c:v>
                </c:pt>
                <c:pt idx="27">
                  <c:v>693.33333333333337</c:v>
                </c:pt>
                <c:pt idx="28">
                  <c:v>7980</c:v>
                </c:pt>
                <c:pt idx="29">
                  <c:v>14840</c:v>
                </c:pt>
              </c:numCache>
            </c:numRef>
          </c:val>
          <c:extLst>
            <c:ext xmlns:c16="http://schemas.microsoft.com/office/drawing/2014/chart" uri="{C3380CC4-5D6E-409C-BE32-E72D297353CC}">
              <c16:uniqueId val="{00000000-B422-4D3E-A42B-711A2B714F90}"/>
            </c:ext>
          </c:extLst>
        </c:ser>
        <c:dLbls>
          <c:dLblPos val="outEnd"/>
          <c:showLegendKey val="0"/>
          <c:showVal val="1"/>
          <c:showCatName val="0"/>
          <c:showSerName val="0"/>
          <c:showPercent val="0"/>
          <c:showBubbleSize val="0"/>
        </c:dLbls>
        <c:gapWidth val="100"/>
        <c:overlap val="-24"/>
        <c:axId val="1431589503"/>
        <c:axId val="1431590943"/>
      </c:barChart>
      <c:catAx>
        <c:axId val="1431589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31590943"/>
        <c:crosses val="autoZero"/>
        <c:auto val="1"/>
        <c:lblAlgn val="ctr"/>
        <c:lblOffset val="100"/>
        <c:noMultiLvlLbl val="0"/>
      </c:catAx>
      <c:valAx>
        <c:axId val="143159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3158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2">
            <a:lumMod val="50000"/>
          </a:schemeClr>
        </a:gs>
        <a:gs pos="36000">
          <a:schemeClr val="bg1">
            <a:lumMod val="65000"/>
          </a:schemeClr>
        </a:gs>
        <a:gs pos="55000">
          <a:schemeClr val="bg2">
            <a:lumMod val="75000"/>
          </a:schemeClr>
        </a:gs>
        <a:gs pos="72000">
          <a:schemeClr val="bg2">
            <a:lumMod val="9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177209</xdr:colOff>
      <xdr:row>16</xdr:row>
      <xdr:rowOff>35443</xdr:rowOff>
    </xdr:from>
    <xdr:to>
      <xdr:col>23</xdr:col>
      <xdr:colOff>292309</xdr:colOff>
      <xdr:row>36</xdr:row>
      <xdr:rowOff>104293</xdr:rowOff>
    </xdr:to>
    <xdr:graphicFrame macro="">
      <xdr:nvGraphicFramePr>
        <xdr:cNvPr id="2" name="Chart 1">
          <a:extLst>
            <a:ext uri="{FF2B5EF4-FFF2-40B4-BE49-F238E27FC236}">
              <a16:creationId xmlns:a16="http://schemas.microsoft.com/office/drawing/2014/main" id="{275E599E-CA7F-4BCF-8945-761375CBF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489185</xdr:colOff>
      <xdr:row>3</xdr:row>
      <xdr:rowOff>94074</xdr:rowOff>
    </xdr:from>
    <xdr:to>
      <xdr:col>17</xdr:col>
      <xdr:colOff>488809</xdr:colOff>
      <xdr:row>13</xdr:row>
      <xdr:rowOff>171967</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568DAD1A-9100-43E4-A27B-F390F381411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458222" y="696148"/>
              <a:ext cx="1834068" cy="2081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198120</xdr:colOff>
      <xdr:row>4</xdr:row>
      <xdr:rowOff>7621</xdr:rowOff>
    </xdr:from>
    <xdr:to>
      <xdr:col>6</xdr:col>
      <xdr:colOff>426720</xdr:colOff>
      <xdr:row>11</xdr:row>
      <xdr:rowOff>45720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34D43AB-6050-C532-938B-B83658CEA9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97765" y="748257"/>
              <a:ext cx="1830936" cy="1334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z" refreshedDate="46004.479367708336" createdVersion="8" refreshedVersion="8" minRefreshableVersion="3" recordCount="35" xr:uid="{B73D3CF5-C35A-4CFC-A6B3-6DE42C1050DF}">
  <cacheSource type="worksheet">
    <worksheetSource ref="B1:D36" sheet="Task 2"/>
  </cacheSource>
  <cacheFields count="3">
    <cacheField name="Monthly_Fee" numFmtId="0">
      <sharedItems containsSemiMixedTypes="0" containsString="0" containsNumber="1" containsInteger="1" minValue="800" maxValue="2500" count="4">
        <n v="800"/>
        <n v="1200"/>
        <n v="2500"/>
        <n v="1800"/>
      </sharedItems>
    </cacheField>
    <cacheField name="Referred_By" numFmtId="0">
      <sharedItems containsBlank="1"/>
    </cacheField>
    <cacheField name="Reffer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z" refreshedDate="46004.494685763886" createdVersion="8" refreshedVersion="8" minRefreshableVersion="3" recordCount="35" xr:uid="{109DF057-0309-46A4-822A-F57F30224576}">
  <cacheSource type="worksheet">
    <worksheetSource name="Table135"/>
  </cacheSource>
  <cacheFields count="13">
    <cacheField name="Column1" numFmtId="0">
      <sharedItems/>
    </cacheField>
    <cacheField name="Full_Name" numFmtId="0">
      <sharedItems/>
    </cacheField>
    <cacheField name="Age" numFmtId="0">
      <sharedItems containsSemiMixedTypes="0" containsString="0" containsNumber="1" containsInteger="1" minValue="19" maxValue="59" count="26">
        <n v="59"/>
        <n v="27"/>
        <n v="24"/>
        <n v="31"/>
        <n v="19"/>
        <n v="40"/>
        <n v="41"/>
        <n v="43"/>
        <n v="42"/>
        <n v="37"/>
        <n v="48"/>
        <n v="36"/>
        <n v="39"/>
        <n v="44"/>
        <n v="35"/>
        <n v="56"/>
        <n v="28"/>
        <n v="57"/>
        <n v="26"/>
        <n v="25"/>
        <n v="53"/>
        <n v="29"/>
        <n v="52"/>
        <n v="20"/>
        <n v="22"/>
        <n v="23"/>
      </sharedItems>
    </cacheField>
    <cacheField name="Gender" numFmtId="0">
      <sharedItems count="2">
        <s v="Male"/>
        <s v="Female"/>
      </sharedItems>
    </cacheField>
    <cacheField name="Membership_Type" numFmtId="0">
      <sharedItems count="4">
        <s v="Basic"/>
        <s v="Standard"/>
        <s v="Family"/>
        <s v="Premium"/>
      </sharedItems>
    </cacheField>
    <cacheField name="Start_Date" numFmtId="14">
      <sharedItems containsSemiMixedTypes="0" containsNonDate="0" containsDate="1" containsString="0" minDate="2023-05-19T00:00:00" maxDate="2025-02-27T00:00:00"/>
    </cacheField>
    <cacheField name="End_Date" numFmtId="1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ount="16">
        <s v="Hiran Shan"/>
        <s v="Kiara Kakar"/>
        <s v="Jhanvi Chaudhary"/>
        <s v="Tara Swaminathan"/>
        <s v="Madhav Singh"/>
        <s v="Shray Ramakrishnan"/>
        <m/>
        <s v="Nitara Comar"/>
        <s v="Ranbir Karan"/>
        <s v="Rati Sanghvi"/>
        <s v="Ishaan Kashyap"/>
        <s v="Tanya Bajwa"/>
        <s v="Adira Brar"/>
        <s v="Nakul Balakrishnan"/>
        <s v="Darshit Sidhu"/>
        <s v="Riya Dugal"/>
      </sharedItems>
    </cacheField>
    <cacheField name="Membership_Duration_months " numFmtId="2">
      <sharedItems containsSemiMixedTypes="0" containsString="0" containsNumber="1" minValue="0.13333333333333333" maxValue="18.933333333333334"/>
    </cacheField>
    <cacheField name="Total_Revenue" numFmtId="0">
      <sharedItems containsSemiMixedTypes="0" containsString="0" containsNumber="1" minValue="240" maxValue="36333.333333333336" count="35">
        <n v="5066.6666666666661"/>
        <n v="693.33333333333337"/>
        <n v="7200"/>
        <n v="4320"/>
        <n v="17916.666666666668"/>
        <n v="2000"/>
        <n v="2373.3333333333335"/>
        <n v="6780"/>
        <n v="346.66666666666669"/>
        <n v="3120"/>
        <n v="6480"/>
        <n v="16560"/>
        <n v="5100"/>
        <n v="7080"/>
        <n v="5520"/>
        <n v="2500"/>
        <n v="14240"/>
        <n v="36333.333333333336"/>
        <n v="8266.6666666666679"/>
        <n v="15916.666666666666"/>
        <n v="31680.000000000004"/>
        <n v="17760"/>
        <n v="240"/>
        <n v="11640"/>
        <n v="5160"/>
        <n v="1000"/>
        <n v="2333.3333333333335"/>
        <n v="1240.0000000000002"/>
        <n v="583.33333333333337"/>
        <n v="6500"/>
        <n v="15146.666666666666"/>
        <n v="8520"/>
        <n v="1093.3333333333333"/>
        <n v="7980"/>
        <n v="13600"/>
      </sharedItems>
    </cacheField>
  </cacheFields>
  <extLst>
    <ext xmlns:x14="http://schemas.microsoft.com/office/spreadsheetml/2009/9/main" uri="{725AE2AE-9491-48be-B2B4-4EB974FC3084}">
      <x14:pivotCacheDefinition pivotCacheId="325436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z" refreshedDate="46004.626464699075" createdVersion="8" refreshedVersion="8" minRefreshableVersion="3" recordCount="35" xr:uid="{21AAB2DC-72DB-439E-BA61-CE102A83A892}">
  <cacheSource type="worksheet">
    <worksheetSource ref="A2:O37" sheet="Task 3"/>
  </cacheSource>
  <cacheFields count="15">
    <cacheField name="Column1"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4">
      <sharedItems containsSemiMixedTypes="0" containsNonDate="0" containsDate="1" containsString="0" minDate="2023-05-19T00:00:00" maxDate="2025-02-27T00:00:00"/>
    </cacheField>
    <cacheField name="End_Date" numFmtId="1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 numFmtId="2">
      <sharedItems containsSemiMixedTypes="0" containsString="0" containsNumber="1" minValue="0.13333333333333333" maxValue="18.933333333333334"/>
    </cacheField>
    <cacheField name="Total_Revenue" numFmtId="0">
      <sharedItems containsSemiMixedTypes="0" containsString="0" containsNumber="1" minValue="240" maxValue="36333.333333333336"/>
    </cacheField>
    <cacheField name="Membership_Duration_days" numFmtId="0">
      <sharedItems containsSemiMixedTypes="0" containsString="0" containsNumber="1" containsInteger="1" minValue="4" maxValue="568"/>
    </cacheField>
    <cacheField name="Reffered" numFmtId="0">
      <sharedItems count="2">
        <s v="Yes"/>
        <s v="No"/>
      </sharedItems>
    </cacheField>
  </cacheFields>
  <extLst>
    <ext xmlns:x14="http://schemas.microsoft.com/office/spreadsheetml/2009/9/main" uri="{725AE2AE-9491-48be-B2B4-4EB974FC3084}">
      <x14:pivotCacheDefinition pivotCacheId="192564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s v="Hiran Shan"/>
    <x v="0"/>
  </r>
  <r>
    <x v="0"/>
    <s v="Kiara Kakar"/>
    <x v="0"/>
  </r>
  <r>
    <x v="1"/>
    <s v="Jhanvi Chaudhary"/>
    <x v="0"/>
  </r>
  <r>
    <x v="1"/>
    <s v="Tara Swaminathan"/>
    <x v="0"/>
  </r>
  <r>
    <x v="2"/>
    <s v="Madhav Singh"/>
    <x v="0"/>
  </r>
  <r>
    <x v="0"/>
    <s v="Shray Ramakrishnan"/>
    <x v="0"/>
  </r>
  <r>
    <x v="0"/>
    <m/>
    <x v="1"/>
  </r>
  <r>
    <x v="3"/>
    <m/>
    <x v="1"/>
  </r>
  <r>
    <x v="0"/>
    <s v="Nitara Comar"/>
    <x v="0"/>
  </r>
  <r>
    <x v="1"/>
    <s v="Ranbir Karan"/>
    <x v="0"/>
  </r>
  <r>
    <x v="1"/>
    <s v="Rati Sanghvi"/>
    <x v="0"/>
  </r>
  <r>
    <x v="1"/>
    <s v="Ishaan Kashyap"/>
    <x v="0"/>
  </r>
  <r>
    <x v="3"/>
    <m/>
    <x v="1"/>
  </r>
  <r>
    <x v="1"/>
    <m/>
    <x v="1"/>
  </r>
  <r>
    <x v="0"/>
    <m/>
    <x v="1"/>
  </r>
  <r>
    <x v="2"/>
    <m/>
    <x v="1"/>
  </r>
  <r>
    <x v="1"/>
    <m/>
    <x v="1"/>
  </r>
  <r>
    <x v="2"/>
    <m/>
    <x v="1"/>
  </r>
  <r>
    <x v="0"/>
    <m/>
    <x v="1"/>
  </r>
  <r>
    <x v="2"/>
    <s v="Tanya Bajwa"/>
    <x v="0"/>
  </r>
  <r>
    <x v="3"/>
    <m/>
    <x v="1"/>
  </r>
  <r>
    <x v="3"/>
    <m/>
    <x v="1"/>
  </r>
  <r>
    <x v="3"/>
    <m/>
    <x v="1"/>
  </r>
  <r>
    <x v="1"/>
    <m/>
    <x v="1"/>
  </r>
  <r>
    <x v="3"/>
    <s v="Adira Brar"/>
    <x v="0"/>
  </r>
  <r>
    <x v="1"/>
    <m/>
    <x v="1"/>
  </r>
  <r>
    <x v="2"/>
    <m/>
    <x v="1"/>
  </r>
  <r>
    <x v="1"/>
    <m/>
    <x v="1"/>
  </r>
  <r>
    <x v="2"/>
    <m/>
    <x v="1"/>
  </r>
  <r>
    <x v="2"/>
    <s v="Nakul Balakrishnan"/>
    <x v="0"/>
  </r>
  <r>
    <x v="0"/>
    <s v="Darshit Sidhu"/>
    <x v="0"/>
  </r>
  <r>
    <x v="1"/>
    <m/>
    <x v="1"/>
  </r>
  <r>
    <x v="0"/>
    <m/>
    <x v="1"/>
  </r>
  <r>
    <x v="3"/>
    <s v="Riya Dugal"/>
    <x v="0"/>
  </r>
  <r>
    <x v="1"/>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x v="0"/>
    <x v="0"/>
    <x v="0"/>
    <d v="2023-11-05T00:00:00"/>
    <d v="2024-05-13T00:00:00"/>
    <n v="800"/>
    <n v="25"/>
    <x v="0"/>
    <x v="0"/>
    <n v="6.333333333333333"/>
    <x v="0"/>
  </r>
  <r>
    <s v="M002"/>
    <s v="Parinaaz Shanker"/>
    <x v="1"/>
    <x v="0"/>
    <x v="0"/>
    <d v="2025-02-26T00:00:00"/>
    <d v="2025-03-24T00:00:00"/>
    <n v="800"/>
    <n v="20"/>
    <x v="1"/>
    <x v="1"/>
    <n v="0.8666666666666667"/>
    <x v="1"/>
  </r>
  <r>
    <s v="M003"/>
    <s v="Aniruddh Batra"/>
    <x v="2"/>
    <x v="0"/>
    <x v="1"/>
    <d v="2023-09-22T00:00:00"/>
    <d v="2024-03-20T00:00:00"/>
    <n v="1200"/>
    <n v="18"/>
    <x v="2"/>
    <x v="2"/>
    <n v="6"/>
    <x v="2"/>
  </r>
  <r>
    <s v="M004"/>
    <s v="Madhup Kapur"/>
    <x v="3"/>
    <x v="1"/>
    <x v="1"/>
    <d v="2024-07-06T00:00:00"/>
    <d v="2024-10-22T00:00:00"/>
    <n v="1200"/>
    <n v="16"/>
    <x v="2"/>
    <x v="3"/>
    <n v="3.6"/>
    <x v="3"/>
  </r>
  <r>
    <s v="M005"/>
    <s v="Rasha Kakar"/>
    <x v="4"/>
    <x v="0"/>
    <x v="2"/>
    <d v="2023-12-26T00:00:00"/>
    <d v="2024-07-28T00:00:00"/>
    <n v="2500"/>
    <n v="12"/>
    <x v="0"/>
    <x v="4"/>
    <n v="7.166666666666667"/>
    <x v="4"/>
  </r>
  <r>
    <s v="M006"/>
    <s v="Ehsaan Batra"/>
    <x v="5"/>
    <x v="0"/>
    <x v="0"/>
    <d v="2024-01-26T00:00:00"/>
    <d v="2024-04-10T00:00:00"/>
    <n v="800"/>
    <n v="14"/>
    <x v="3"/>
    <x v="5"/>
    <n v="2.5"/>
    <x v="5"/>
  </r>
  <r>
    <s v="M007"/>
    <s v="Zara Bains"/>
    <x v="6"/>
    <x v="1"/>
    <x v="0"/>
    <d v="2024-10-23T00:00:00"/>
    <d v="2025-01-20T00:00:00"/>
    <n v="800"/>
    <n v="25"/>
    <x v="1"/>
    <x v="6"/>
    <n v="2.9666666666666668"/>
    <x v="6"/>
  </r>
  <r>
    <s v="M008"/>
    <s v="Uthkarsh Baral"/>
    <x v="7"/>
    <x v="0"/>
    <x v="3"/>
    <d v="2024-06-07T00:00:00"/>
    <d v="2024-09-28T00:00:00"/>
    <n v="1800"/>
    <n v="28"/>
    <x v="4"/>
    <x v="6"/>
    <n v="3.7666666666666666"/>
    <x v="7"/>
  </r>
  <r>
    <s v="M009"/>
    <s v="Kashvi Char"/>
    <x v="8"/>
    <x v="0"/>
    <x v="0"/>
    <d v="2024-10-04T00:00:00"/>
    <d v="2024-10-17T00:00:00"/>
    <n v="800"/>
    <n v="3"/>
    <x v="4"/>
    <x v="7"/>
    <n v="0.43333333333333335"/>
    <x v="8"/>
  </r>
  <r>
    <s v="M010"/>
    <s v="Dhanush Varma"/>
    <x v="9"/>
    <x v="0"/>
    <x v="1"/>
    <d v="2023-10-03T00:00:00"/>
    <d v="2023-12-20T00:00:00"/>
    <n v="1200"/>
    <n v="29"/>
    <x v="3"/>
    <x v="8"/>
    <n v="2.6"/>
    <x v="9"/>
  </r>
  <r>
    <s v="M011"/>
    <s v="Ishaan Goyal"/>
    <x v="10"/>
    <x v="1"/>
    <x v="1"/>
    <d v="2024-01-06T00:00:00"/>
    <d v="2024-06-16T00:00:00"/>
    <n v="1200"/>
    <n v="13"/>
    <x v="0"/>
    <x v="9"/>
    <n v="5.4"/>
    <x v="10"/>
  </r>
  <r>
    <s v="M012"/>
    <s v="Mahika Ravi"/>
    <x v="11"/>
    <x v="0"/>
    <x v="1"/>
    <d v="2023-08-16T00:00:00"/>
    <d v="2024-10-03T00:00:00"/>
    <n v="1200"/>
    <n v="19"/>
    <x v="4"/>
    <x v="10"/>
    <n v="13.8"/>
    <x v="11"/>
  </r>
  <r>
    <s v="M013"/>
    <s v="Purab Reddy"/>
    <x v="10"/>
    <x v="1"/>
    <x v="3"/>
    <d v="2024-09-21T00:00:00"/>
    <d v="2024-12-15T00:00:00"/>
    <n v="1800"/>
    <n v="22"/>
    <x v="4"/>
    <x v="6"/>
    <n v="2.8333333333333335"/>
    <x v="12"/>
  </r>
  <r>
    <s v="M014"/>
    <s v="Tiya Soni"/>
    <x v="12"/>
    <x v="0"/>
    <x v="1"/>
    <d v="2023-05-19T00:00:00"/>
    <d v="2023-11-12T00:00:00"/>
    <n v="1200"/>
    <n v="28"/>
    <x v="3"/>
    <x v="6"/>
    <n v="5.9"/>
    <x v="13"/>
  </r>
  <r>
    <s v="M015"/>
    <s v="Zara Dugar"/>
    <x v="13"/>
    <x v="1"/>
    <x v="0"/>
    <d v="2024-02-11T00:00:00"/>
    <d v="2024-09-05T00:00:00"/>
    <n v="800"/>
    <n v="8"/>
    <x v="2"/>
    <x v="6"/>
    <n v="6.9"/>
    <x v="14"/>
  </r>
  <r>
    <s v="M016"/>
    <s v="Lakshit Mander"/>
    <x v="12"/>
    <x v="0"/>
    <x v="2"/>
    <d v="2025-02-14T00:00:00"/>
    <d v="2025-03-16T00:00:00"/>
    <n v="2500"/>
    <n v="14"/>
    <x v="4"/>
    <x v="6"/>
    <n v="1"/>
    <x v="15"/>
  </r>
  <r>
    <s v="M017"/>
    <s v="Neysa Krish"/>
    <x v="14"/>
    <x v="0"/>
    <x v="1"/>
    <d v="2024-02-07T00:00:00"/>
    <d v="2025-01-28T00:00:00"/>
    <n v="1200"/>
    <n v="25"/>
    <x v="2"/>
    <x v="6"/>
    <n v="11.866666666666667"/>
    <x v="16"/>
  </r>
  <r>
    <s v="M018"/>
    <s v="Prerak Boase"/>
    <x v="15"/>
    <x v="1"/>
    <x v="2"/>
    <d v="2023-10-14T00:00:00"/>
    <d v="2024-12-23T00:00:00"/>
    <n v="2500"/>
    <n v="13"/>
    <x v="5"/>
    <x v="6"/>
    <n v="14.533333333333333"/>
    <x v="17"/>
  </r>
  <r>
    <s v="M019"/>
    <s v="Siya Master"/>
    <x v="1"/>
    <x v="1"/>
    <x v="0"/>
    <d v="2024-03-03T00:00:00"/>
    <d v="2025-01-07T00:00:00"/>
    <n v="800"/>
    <n v="26"/>
    <x v="3"/>
    <x v="6"/>
    <n v="10.333333333333334"/>
    <x v="18"/>
  </r>
  <r>
    <s v="M020"/>
    <s v="Madhup Biswas"/>
    <x v="16"/>
    <x v="0"/>
    <x v="2"/>
    <d v="2024-05-05T00:00:00"/>
    <d v="2024-11-12T00:00:00"/>
    <n v="2500"/>
    <n v="21"/>
    <x v="3"/>
    <x v="11"/>
    <n v="6.3666666666666663"/>
    <x v="19"/>
  </r>
  <r>
    <s v="M021"/>
    <s v="Indrans Ratti"/>
    <x v="17"/>
    <x v="1"/>
    <x v="3"/>
    <d v="2023-08-08T00:00:00"/>
    <d v="2025-01-17T00:00:00"/>
    <n v="1800"/>
    <n v="19"/>
    <x v="3"/>
    <x v="6"/>
    <n v="17.600000000000001"/>
    <x v="20"/>
  </r>
  <r>
    <s v="M022"/>
    <s v="Kimaya Balay"/>
    <x v="18"/>
    <x v="1"/>
    <x v="3"/>
    <d v="2024-01-29T00:00:00"/>
    <d v="2024-11-20T00:00:00"/>
    <n v="1800"/>
    <n v="5"/>
    <x v="0"/>
    <x v="6"/>
    <n v="9.8666666666666671"/>
    <x v="21"/>
  </r>
  <r>
    <s v="M023"/>
    <s v="Eva Dass"/>
    <x v="10"/>
    <x v="0"/>
    <x v="3"/>
    <d v="2024-06-08T00:00:00"/>
    <d v="2024-06-12T00:00:00"/>
    <n v="1800"/>
    <n v="18"/>
    <x v="5"/>
    <x v="6"/>
    <n v="0.13333333333333333"/>
    <x v="22"/>
  </r>
  <r>
    <s v="M024"/>
    <s v="Pihu Wali"/>
    <x v="19"/>
    <x v="1"/>
    <x v="1"/>
    <d v="2024-05-27T00:00:00"/>
    <d v="2025-03-14T00:00:00"/>
    <n v="1200"/>
    <n v="6"/>
    <x v="0"/>
    <x v="6"/>
    <n v="9.6999999999999993"/>
    <x v="23"/>
  </r>
  <r>
    <s v="M025"/>
    <s v="Tiya Rege"/>
    <x v="20"/>
    <x v="0"/>
    <x v="3"/>
    <d v="2023-12-26T00:00:00"/>
    <d v="2024-03-21T00:00:00"/>
    <n v="1800"/>
    <n v="17"/>
    <x v="3"/>
    <x v="12"/>
    <n v="2.8666666666666667"/>
    <x v="24"/>
  </r>
  <r>
    <s v="M026"/>
    <s v="Aarav Sen"/>
    <x v="8"/>
    <x v="1"/>
    <x v="1"/>
    <d v="2025-02-14T00:00:00"/>
    <d v="2025-03-11T00:00:00"/>
    <n v="1200"/>
    <n v="3"/>
    <x v="5"/>
    <x v="6"/>
    <n v="0.83333333333333337"/>
    <x v="25"/>
  </r>
  <r>
    <s v="M027"/>
    <s v="Dishani Bera"/>
    <x v="2"/>
    <x v="0"/>
    <x v="2"/>
    <d v="2025-02-10T00:00:00"/>
    <d v="2025-03-10T00:00:00"/>
    <n v="2500"/>
    <n v="28"/>
    <x v="3"/>
    <x v="6"/>
    <n v="0.93333333333333335"/>
    <x v="26"/>
  </r>
  <r>
    <s v="M028"/>
    <s v="Indrans Grover"/>
    <x v="20"/>
    <x v="0"/>
    <x v="1"/>
    <d v="2024-11-18T00:00:00"/>
    <d v="2024-12-19T00:00:00"/>
    <n v="1200"/>
    <n v="23"/>
    <x v="1"/>
    <x v="6"/>
    <n v="1.0333333333333334"/>
    <x v="27"/>
  </r>
  <r>
    <s v="M029"/>
    <s v="Kismat Edwin"/>
    <x v="21"/>
    <x v="1"/>
    <x v="2"/>
    <d v="2024-04-19T00:00:00"/>
    <d v="2024-04-26T00:00:00"/>
    <n v="2500"/>
    <n v="8"/>
    <x v="2"/>
    <x v="6"/>
    <n v="0.23333333333333334"/>
    <x v="28"/>
  </r>
  <r>
    <s v="M030"/>
    <s v="Taran Vyas"/>
    <x v="3"/>
    <x v="1"/>
    <x v="2"/>
    <d v="2025-01-10T00:00:00"/>
    <d v="2025-03-29T00:00:00"/>
    <n v="2500"/>
    <n v="23"/>
    <x v="4"/>
    <x v="13"/>
    <n v="2.6"/>
    <x v="29"/>
  </r>
  <r>
    <s v="M031"/>
    <s v="Jiya Baral"/>
    <x v="22"/>
    <x v="1"/>
    <x v="0"/>
    <d v="2023-06-11T00:00:00"/>
    <d v="2024-12-30T00:00:00"/>
    <n v="800"/>
    <n v="9"/>
    <x v="5"/>
    <x v="14"/>
    <n v="18.933333333333334"/>
    <x v="30"/>
  </r>
  <r>
    <s v="M032"/>
    <s v="Gokul Sahni"/>
    <x v="23"/>
    <x v="0"/>
    <x v="1"/>
    <d v="2024-04-09T00:00:00"/>
    <d v="2024-11-08T00:00:00"/>
    <n v="1200"/>
    <n v="2"/>
    <x v="3"/>
    <x v="6"/>
    <n v="7.1"/>
    <x v="31"/>
  </r>
  <r>
    <s v="M033"/>
    <s v="Prerak Lalla"/>
    <x v="24"/>
    <x v="0"/>
    <x v="0"/>
    <d v="2025-02-11T00:00:00"/>
    <d v="2025-03-24T00:00:00"/>
    <n v="800"/>
    <n v="30"/>
    <x v="3"/>
    <x v="6"/>
    <n v="1.3666666666666667"/>
    <x v="32"/>
  </r>
  <r>
    <s v="M034"/>
    <s v="Hrishita Shroff"/>
    <x v="25"/>
    <x v="0"/>
    <x v="3"/>
    <d v="2024-10-23T00:00:00"/>
    <d v="2025-03-05T00:00:00"/>
    <n v="1800"/>
    <n v="23"/>
    <x v="1"/>
    <x v="15"/>
    <n v="4.4333333333333336"/>
    <x v="33"/>
  </r>
  <r>
    <s v="M035"/>
    <s v="Oorja Sachar"/>
    <x v="1"/>
    <x v="1"/>
    <x v="1"/>
    <d v="2024-01-21T00:00:00"/>
    <d v="2024-12-26T00:00:00"/>
    <n v="1200"/>
    <n v="27"/>
    <x v="1"/>
    <x v="6"/>
    <n v="11.333333333333334"/>
    <x v="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s v="Hiran Shan"/>
    <n v="6.333333333333333"/>
    <n v="5066.6666666666661"/>
    <n v="190"/>
    <x v="0"/>
  </r>
  <r>
    <s v="M002"/>
    <s v="Parinaaz Shanker"/>
    <n v="27"/>
    <s v="Male"/>
    <x v="0"/>
    <d v="2025-02-26T00:00:00"/>
    <d v="2025-03-24T00:00:00"/>
    <n v="800"/>
    <n v="20"/>
    <x v="1"/>
    <s v="Kiara Kakar"/>
    <n v="0.8666666666666667"/>
    <n v="693.33333333333337"/>
    <n v="26"/>
    <x v="0"/>
  </r>
  <r>
    <s v="M003"/>
    <s v="Aniruddh Batra"/>
    <n v="24"/>
    <s v="Male"/>
    <x v="1"/>
    <d v="2023-09-22T00:00:00"/>
    <d v="2024-03-20T00:00:00"/>
    <n v="1200"/>
    <n v="18"/>
    <x v="2"/>
    <s v="Jhanvi Chaudhary"/>
    <n v="6"/>
    <n v="7200"/>
    <n v="180"/>
    <x v="0"/>
  </r>
  <r>
    <s v="M004"/>
    <s v="Madhup Kapur"/>
    <n v="31"/>
    <s v="Female"/>
    <x v="1"/>
    <d v="2024-07-06T00:00:00"/>
    <d v="2024-10-22T00:00:00"/>
    <n v="1200"/>
    <n v="16"/>
    <x v="2"/>
    <s v="Tara Swaminathan"/>
    <n v="3.6"/>
    <n v="4320"/>
    <n v="108"/>
    <x v="0"/>
  </r>
  <r>
    <s v="M005"/>
    <s v="Rasha Kakar"/>
    <n v="19"/>
    <s v="Male"/>
    <x v="2"/>
    <d v="2023-12-26T00:00:00"/>
    <d v="2024-07-28T00:00:00"/>
    <n v="2500"/>
    <n v="12"/>
    <x v="0"/>
    <s v="Madhav Singh"/>
    <n v="7.166666666666667"/>
    <n v="17916.666666666668"/>
    <n v="215"/>
    <x v="0"/>
  </r>
  <r>
    <s v="M006"/>
    <s v="Ehsaan Batra"/>
    <n v="40"/>
    <s v="Male"/>
    <x v="0"/>
    <d v="2024-01-26T00:00:00"/>
    <d v="2024-04-10T00:00:00"/>
    <n v="800"/>
    <n v="14"/>
    <x v="3"/>
    <s v="Shray Ramakrishnan"/>
    <n v="2.5"/>
    <n v="2000"/>
    <n v="75"/>
    <x v="0"/>
  </r>
  <r>
    <s v="M007"/>
    <s v="Zara Bains"/>
    <n v="41"/>
    <s v="Female"/>
    <x v="0"/>
    <d v="2024-10-23T00:00:00"/>
    <d v="2025-01-20T00:00:00"/>
    <n v="800"/>
    <n v="25"/>
    <x v="1"/>
    <m/>
    <n v="2.9666666666666668"/>
    <n v="2373.3333333333335"/>
    <n v="89"/>
    <x v="1"/>
  </r>
  <r>
    <s v="M008"/>
    <s v="Uthkarsh Baral"/>
    <n v="43"/>
    <s v="Male"/>
    <x v="3"/>
    <d v="2024-06-07T00:00:00"/>
    <d v="2024-09-28T00:00:00"/>
    <n v="1800"/>
    <n v="28"/>
    <x v="4"/>
    <m/>
    <n v="3.7666666666666666"/>
    <n v="6780"/>
    <n v="113"/>
    <x v="1"/>
  </r>
  <r>
    <s v="M009"/>
    <s v="Kashvi Char"/>
    <n v="42"/>
    <s v="Male"/>
    <x v="0"/>
    <d v="2024-10-04T00:00:00"/>
    <d v="2024-10-17T00:00:00"/>
    <n v="800"/>
    <n v="3"/>
    <x v="4"/>
    <s v="Nitara Comar"/>
    <n v="0.43333333333333335"/>
    <n v="346.66666666666669"/>
    <n v="13"/>
    <x v="0"/>
  </r>
  <r>
    <s v="M010"/>
    <s v="Dhanush Varma"/>
    <n v="37"/>
    <s v="Male"/>
    <x v="1"/>
    <d v="2023-10-03T00:00:00"/>
    <d v="2023-12-20T00:00:00"/>
    <n v="1200"/>
    <n v="29"/>
    <x v="3"/>
    <s v="Ranbir Karan"/>
    <n v="2.6"/>
    <n v="3120"/>
    <n v="78"/>
    <x v="0"/>
  </r>
  <r>
    <s v="M011"/>
    <s v="Ishaan Goyal"/>
    <n v="48"/>
    <s v="Female"/>
    <x v="1"/>
    <d v="2024-01-06T00:00:00"/>
    <d v="2024-06-16T00:00:00"/>
    <n v="1200"/>
    <n v="13"/>
    <x v="0"/>
    <s v="Rati Sanghvi"/>
    <n v="5.4"/>
    <n v="6480"/>
    <n v="162"/>
    <x v="0"/>
  </r>
  <r>
    <s v="M012"/>
    <s v="Mahika Ravi"/>
    <n v="36"/>
    <s v="Male"/>
    <x v="1"/>
    <d v="2023-08-16T00:00:00"/>
    <d v="2024-10-03T00:00:00"/>
    <n v="1200"/>
    <n v="19"/>
    <x v="4"/>
    <s v="Ishaan Kashyap"/>
    <n v="13.8"/>
    <n v="16560"/>
    <n v="414"/>
    <x v="0"/>
  </r>
  <r>
    <s v="M013"/>
    <s v="Purab Reddy"/>
    <n v="48"/>
    <s v="Female"/>
    <x v="3"/>
    <d v="2024-09-21T00:00:00"/>
    <d v="2024-12-15T00:00:00"/>
    <n v="1800"/>
    <n v="22"/>
    <x v="4"/>
    <m/>
    <n v="2.8333333333333335"/>
    <n v="5100"/>
    <n v="85"/>
    <x v="1"/>
  </r>
  <r>
    <s v="M014"/>
    <s v="Tiya Soni"/>
    <n v="39"/>
    <s v="Male"/>
    <x v="1"/>
    <d v="2023-05-19T00:00:00"/>
    <d v="2023-11-12T00:00:00"/>
    <n v="1200"/>
    <n v="28"/>
    <x v="3"/>
    <m/>
    <n v="5.9"/>
    <n v="7080"/>
    <n v="177"/>
    <x v="1"/>
  </r>
  <r>
    <s v="M015"/>
    <s v="Zara Dugar"/>
    <n v="44"/>
    <s v="Female"/>
    <x v="0"/>
    <d v="2024-02-11T00:00:00"/>
    <d v="2024-09-05T00:00:00"/>
    <n v="800"/>
    <n v="8"/>
    <x v="2"/>
    <m/>
    <n v="6.9"/>
    <n v="5520"/>
    <n v="207"/>
    <x v="1"/>
  </r>
  <r>
    <s v="M016"/>
    <s v="Lakshit Mander"/>
    <n v="39"/>
    <s v="Male"/>
    <x v="2"/>
    <d v="2025-02-14T00:00:00"/>
    <d v="2025-03-16T00:00:00"/>
    <n v="2500"/>
    <n v="14"/>
    <x v="4"/>
    <m/>
    <n v="1"/>
    <n v="2500"/>
    <n v="30"/>
    <x v="1"/>
  </r>
  <r>
    <s v="M017"/>
    <s v="Neysa Krish"/>
    <n v="35"/>
    <s v="Male"/>
    <x v="1"/>
    <d v="2024-02-07T00:00:00"/>
    <d v="2025-01-28T00:00:00"/>
    <n v="1200"/>
    <n v="25"/>
    <x v="2"/>
    <m/>
    <n v="11.866666666666667"/>
    <n v="14240"/>
    <n v="356"/>
    <x v="1"/>
  </r>
  <r>
    <s v="M018"/>
    <s v="Prerak Boase"/>
    <n v="56"/>
    <s v="Female"/>
    <x v="2"/>
    <d v="2023-10-14T00:00:00"/>
    <d v="2024-12-23T00:00:00"/>
    <n v="2500"/>
    <n v="13"/>
    <x v="5"/>
    <m/>
    <n v="14.533333333333333"/>
    <n v="36333.333333333336"/>
    <n v="436"/>
    <x v="1"/>
  </r>
  <r>
    <s v="M019"/>
    <s v="Siya Master"/>
    <n v="27"/>
    <s v="Female"/>
    <x v="0"/>
    <d v="2024-03-03T00:00:00"/>
    <d v="2025-01-07T00:00:00"/>
    <n v="800"/>
    <n v="26"/>
    <x v="3"/>
    <m/>
    <n v="10.333333333333334"/>
    <n v="8266.6666666666679"/>
    <n v="310"/>
    <x v="1"/>
  </r>
  <r>
    <s v="M020"/>
    <s v="Madhup Biswas"/>
    <n v="28"/>
    <s v="Male"/>
    <x v="2"/>
    <d v="2024-05-05T00:00:00"/>
    <d v="2024-11-12T00:00:00"/>
    <n v="2500"/>
    <n v="21"/>
    <x v="3"/>
    <s v="Tanya Bajwa"/>
    <n v="6.3666666666666663"/>
    <n v="15916.666666666666"/>
    <n v="191"/>
    <x v="0"/>
  </r>
  <r>
    <s v="M021"/>
    <s v="Indrans Ratti"/>
    <n v="57"/>
    <s v="Female"/>
    <x v="3"/>
    <d v="2023-08-08T00:00:00"/>
    <d v="2025-01-17T00:00:00"/>
    <n v="1800"/>
    <n v="19"/>
    <x v="3"/>
    <m/>
    <n v="17.600000000000001"/>
    <n v="31680.000000000004"/>
    <n v="528"/>
    <x v="1"/>
  </r>
  <r>
    <s v="M022"/>
    <s v="Kimaya Balay"/>
    <n v="26"/>
    <s v="Female"/>
    <x v="3"/>
    <d v="2024-01-29T00:00:00"/>
    <d v="2024-11-20T00:00:00"/>
    <n v="1800"/>
    <n v="5"/>
    <x v="0"/>
    <m/>
    <n v="9.8666666666666671"/>
    <n v="17760"/>
    <n v="296"/>
    <x v="1"/>
  </r>
  <r>
    <s v="M023"/>
    <s v="Eva Dass"/>
    <n v="48"/>
    <s v="Male"/>
    <x v="3"/>
    <d v="2024-06-08T00:00:00"/>
    <d v="2024-06-12T00:00:00"/>
    <n v="1800"/>
    <n v="18"/>
    <x v="5"/>
    <m/>
    <n v="0.13333333333333333"/>
    <n v="240"/>
    <n v="4"/>
    <x v="1"/>
  </r>
  <r>
    <s v="M024"/>
    <s v="Pihu Wali"/>
    <n v="25"/>
    <s v="Female"/>
    <x v="1"/>
    <d v="2024-05-27T00:00:00"/>
    <d v="2025-03-14T00:00:00"/>
    <n v="1200"/>
    <n v="6"/>
    <x v="0"/>
    <m/>
    <n v="9.6999999999999993"/>
    <n v="11640"/>
    <n v="291"/>
    <x v="1"/>
  </r>
  <r>
    <s v="M025"/>
    <s v="Tiya Rege"/>
    <n v="53"/>
    <s v="Male"/>
    <x v="3"/>
    <d v="2023-12-26T00:00:00"/>
    <d v="2024-03-21T00:00:00"/>
    <n v="1800"/>
    <n v="17"/>
    <x v="3"/>
    <s v="Adira Brar"/>
    <n v="2.8666666666666667"/>
    <n v="5160"/>
    <n v="86"/>
    <x v="0"/>
  </r>
  <r>
    <s v="M026"/>
    <s v="Aarav Sen"/>
    <n v="42"/>
    <s v="Female"/>
    <x v="1"/>
    <d v="2025-02-14T00:00:00"/>
    <d v="2025-03-11T00:00:00"/>
    <n v="1200"/>
    <n v="3"/>
    <x v="5"/>
    <m/>
    <n v="0.83333333333333337"/>
    <n v="1000"/>
    <n v="25"/>
    <x v="1"/>
  </r>
  <r>
    <s v="M027"/>
    <s v="Dishani Bera"/>
    <n v="24"/>
    <s v="Male"/>
    <x v="2"/>
    <d v="2025-02-10T00:00:00"/>
    <d v="2025-03-10T00:00:00"/>
    <n v="2500"/>
    <n v="28"/>
    <x v="3"/>
    <m/>
    <n v="0.93333333333333335"/>
    <n v="2333.3333333333335"/>
    <n v="28"/>
    <x v="1"/>
  </r>
  <r>
    <s v="M028"/>
    <s v="Indrans Grover"/>
    <n v="53"/>
    <s v="Male"/>
    <x v="1"/>
    <d v="2024-11-18T00:00:00"/>
    <d v="2024-12-19T00:00:00"/>
    <n v="1200"/>
    <n v="23"/>
    <x v="1"/>
    <m/>
    <n v="1.0333333333333334"/>
    <n v="1240.0000000000002"/>
    <n v="31"/>
    <x v="1"/>
  </r>
  <r>
    <s v="M029"/>
    <s v="Kismat Edwin"/>
    <n v="29"/>
    <s v="Female"/>
    <x v="2"/>
    <d v="2024-04-19T00:00:00"/>
    <d v="2024-04-26T00:00:00"/>
    <n v="2500"/>
    <n v="8"/>
    <x v="2"/>
    <m/>
    <n v="0.23333333333333334"/>
    <n v="583.33333333333337"/>
    <n v="7"/>
    <x v="1"/>
  </r>
  <r>
    <s v="M030"/>
    <s v="Taran Vyas"/>
    <n v="31"/>
    <s v="Female"/>
    <x v="2"/>
    <d v="2025-01-10T00:00:00"/>
    <d v="2025-03-29T00:00:00"/>
    <n v="2500"/>
    <n v="23"/>
    <x v="4"/>
    <s v="Nakul Balakrishnan"/>
    <n v="2.6"/>
    <n v="6500"/>
    <n v="78"/>
    <x v="0"/>
  </r>
  <r>
    <s v="M031"/>
    <s v="Jiya Baral"/>
    <n v="52"/>
    <s v="Female"/>
    <x v="0"/>
    <d v="2023-06-11T00:00:00"/>
    <d v="2024-12-30T00:00:00"/>
    <n v="800"/>
    <n v="9"/>
    <x v="5"/>
    <s v="Darshit Sidhu"/>
    <n v="18.933333333333334"/>
    <n v="15146.666666666666"/>
    <n v="568"/>
    <x v="0"/>
  </r>
  <r>
    <s v="M032"/>
    <s v="Gokul Sahni"/>
    <n v="20"/>
    <s v="Male"/>
    <x v="1"/>
    <d v="2024-04-09T00:00:00"/>
    <d v="2024-11-08T00:00:00"/>
    <n v="1200"/>
    <n v="2"/>
    <x v="3"/>
    <m/>
    <n v="7.1"/>
    <n v="8520"/>
    <n v="213"/>
    <x v="1"/>
  </r>
  <r>
    <s v="M033"/>
    <s v="Prerak Lalla"/>
    <n v="22"/>
    <s v="Male"/>
    <x v="0"/>
    <d v="2025-02-11T00:00:00"/>
    <d v="2025-03-24T00:00:00"/>
    <n v="800"/>
    <n v="30"/>
    <x v="3"/>
    <m/>
    <n v="1.3666666666666667"/>
    <n v="1093.3333333333333"/>
    <n v="41"/>
    <x v="1"/>
  </r>
  <r>
    <s v="M034"/>
    <s v="Hrishita Shroff"/>
    <n v="23"/>
    <s v="Male"/>
    <x v="3"/>
    <d v="2024-10-23T00:00:00"/>
    <d v="2025-03-05T00:00:00"/>
    <n v="1800"/>
    <n v="23"/>
    <x v="1"/>
    <s v="Riya Dugal"/>
    <n v="4.4333333333333336"/>
    <n v="7980"/>
    <n v="133"/>
    <x v="0"/>
  </r>
  <r>
    <s v="M035"/>
    <s v="Oorja Sachar"/>
    <n v="27"/>
    <s v="Female"/>
    <x v="1"/>
    <d v="2024-01-21T00:00:00"/>
    <d v="2024-12-26T00:00:00"/>
    <n v="1200"/>
    <n v="27"/>
    <x v="1"/>
    <m/>
    <n v="11.333333333333334"/>
    <n v="13600"/>
    <n v="34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53E47-050F-4745-A24D-1899DA73CEE4}"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showAll="0"/>
    <pivotField showAll="0"/>
    <pivotField showAll="0"/>
    <pivotField axis="axisRow" showAll="0">
      <items count="5">
        <item h="1" x="0"/>
        <item x="2"/>
        <item x="3"/>
        <item h="1" x="1"/>
        <item t="default"/>
      </items>
    </pivotField>
    <pivotField numFmtId="14" showAll="0"/>
    <pivotField numFmtId="14" showAll="0"/>
    <pivotField showAll="0"/>
    <pivotField showAll="0"/>
    <pivotField axis="axisRow" showAll="0">
      <items count="7">
        <item x="0"/>
        <item x="5"/>
        <item x="2"/>
        <item x="4"/>
        <item x="3"/>
        <item x="1"/>
        <item t="default"/>
      </items>
    </pivotField>
    <pivotField showAll="0"/>
    <pivotField numFmtId="2" showAll="0"/>
    <pivotField dataField="1" showAll="0">
      <items count="36">
        <item x="22"/>
        <item x="8"/>
        <item x="28"/>
        <item x="1"/>
        <item x="25"/>
        <item x="32"/>
        <item x="27"/>
        <item x="5"/>
        <item x="26"/>
        <item x="6"/>
        <item x="15"/>
        <item x="9"/>
        <item x="3"/>
        <item x="0"/>
        <item x="12"/>
        <item x="24"/>
        <item x="14"/>
        <item x="10"/>
        <item x="29"/>
        <item x="7"/>
        <item x="13"/>
        <item x="2"/>
        <item x="33"/>
        <item x="18"/>
        <item x="31"/>
        <item x="23"/>
        <item x="34"/>
        <item x="16"/>
        <item x="30"/>
        <item x="19"/>
        <item x="11"/>
        <item x="21"/>
        <item x="4"/>
        <item x="20"/>
        <item x="17"/>
        <item t="default"/>
      </items>
    </pivotField>
  </pivotFields>
  <rowFields count="2">
    <field x="4"/>
    <field x="9"/>
  </rowFields>
  <rowItems count="13">
    <i>
      <x v="1"/>
    </i>
    <i r="1">
      <x/>
    </i>
    <i r="1">
      <x v="1"/>
    </i>
    <i r="1">
      <x v="2"/>
    </i>
    <i r="1">
      <x v="3"/>
    </i>
    <i r="1">
      <x v="4"/>
    </i>
    <i>
      <x v="2"/>
    </i>
    <i r="1">
      <x/>
    </i>
    <i r="1">
      <x v="1"/>
    </i>
    <i r="1">
      <x v="3"/>
    </i>
    <i r="1">
      <x v="4"/>
    </i>
    <i r="1">
      <x v="5"/>
    </i>
    <i t="grand">
      <x/>
    </i>
  </rowItems>
  <colItems count="1">
    <i/>
  </colItems>
  <dataFields count="1">
    <dataField name="Sum of Total_Revenue" fld="12" baseField="0" baseItem="0"/>
  </dataFields>
  <formats count="8">
    <format dxfId="3037">
      <pivotArea type="all" dataOnly="0" outline="0" fieldPosition="0"/>
    </format>
    <format dxfId="3036">
      <pivotArea outline="0" collapsedLevelsAreSubtotals="1" fieldPosition="0"/>
    </format>
    <format dxfId="3035">
      <pivotArea field="4" type="button" dataOnly="0" labelOnly="1" outline="0" axis="axisRow" fieldPosition="0"/>
    </format>
    <format dxfId="3034">
      <pivotArea dataOnly="0" labelOnly="1" fieldPosition="0">
        <references count="1">
          <reference field="4" count="0"/>
        </references>
      </pivotArea>
    </format>
    <format dxfId="3033">
      <pivotArea dataOnly="0" labelOnly="1" grandRow="1" outline="0" fieldPosition="0"/>
    </format>
    <format dxfId="3032">
      <pivotArea dataOnly="0" labelOnly="1" fieldPosition="0">
        <references count="2">
          <reference field="4" count="1" selected="0">
            <x v="1"/>
          </reference>
          <reference field="9" count="5">
            <x v="0"/>
            <x v="1"/>
            <x v="2"/>
            <x v="3"/>
            <x v="4"/>
          </reference>
        </references>
      </pivotArea>
    </format>
    <format dxfId="3031">
      <pivotArea dataOnly="0" labelOnly="1" fieldPosition="0">
        <references count="2">
          <reference field="4" count="1" selected="0">
            <x v="2"/>
          </reference>
          <reference field="9" count="5">
            <x v="0"/>
            <x v="1"/>
            <x v="3"/>
            <x v="4"/>
            <x v="5"/>
          </reference>
        </references>
      </pivotArea>
    </format>
    <format dxfId="3030">
      <pivotArea dataOnly="0" labelOnly="1" outline="0" axis="axisValues"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DD28B9-6589-486F-858C-AB8345CCCF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ffered">
  <location ref="G3:H6" firstHeaderRow="1" firstDataRow="1" firstDataCol="1"/>
  <pivotFields count="3">
    <pivotField dataField="1" multipleItemSelectionAllowed="1" showAll="0">
      <items count="5">
        <item x="0"/>
        <item x="1"/>
        <item x="3"/>
        <item x="2"/>
        <item t="default"/>
      </items>
    </pivotField>
    <pivotField showAll="0"/>
    <pivotField axis="axisRow" showAll="0">
      <items count="3">
        <item x="1"/>
        <item x="0"/>
        <item t="default"/>
      </items>
    </pivotField>
  </pivotFields>
  <rowFields count="1">
    <field x="2"/>
  </rowFields>
  <rowItems count="3">
    <i>
      <x/>
    </i>
    <i>
      <x v="1"/>
    </i>
    <i t="grand">
      <x/>
    </i>
  </rowItems>
  <colItems count="1">
    <i/>
  </colItems>
  <dataFields count="1">
    <dataField name="Average of Monthly_Fee" fld="0" subtotal="average" baseField="2" baseItem="0"/>
  </dataFields>
  <formats count="5">
    <format dxfId="3059">
      <pivotArea outline="0" collapsedLevelsAreSubtotals="1" fieldPosition="0"/>
    </format>
    <format dxfId="3058">
      <pivotArea dataOnly="0" labelOnly="1" outline="0" axis="axisValues" fieldPosition="0"/>
    </format>
    <format dxfId="3057">
      <pivotArea field="2" type="button" dataOnly="0" labelOnly="1" outline="0" axis="axisRow" fieldPosition="0"/>
    </format>
    <format dxfId="3056">
      <pivotArea dataOnly="0" labelOnly="1" fieldPosition="0">
        <references count="1">
          <reference field="2" count="0"/>
        </references>
      </pivotArea>
    </format>
    <format dxfId="3055">
      <pivotArea dataOnly="0" labelOnly="1" grandRow="1"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51B22-FFCE-4BDE-8ACB-F5208CF360D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5" firstHeaderRow="1" firstDataRow="1" firstDataCol="1"/>
  <pivotFields count="15">
    <pivotField showAll="0"/>
    <pivotField showAll="0"/>
    <pivotField showAll="0"/>
    <pivotField showAll="0"/>
    <pivotField axis="axisRow" showAll="0">
      <items count="5">
        <item x="0"/>
        <item x="2"/>
        <item x="3"/>
        <item x="1"/>
        <item t="default"/>
      </items>
    </pivotField>
    <pivotField numFmtId="14" showAll="0"/>
    <pivotField numFmtId="14" showAll="0"/>
    <pivotField showAll="0"/>
    <pivotField showAll="0"/>
    <pivotField showAll="0"/>
    <pivotField showAll="0"/>
    <pivotField numFmtId="2" showAll="0"/>
    <pivotField dataField="1" showAll="0"/>
    <pivotField showAll="0"/>
    <pivotField showAll="0"/>
  </pivotFields>
  <rowFields count="1">
    <field x="4"/>
  </rowFields>
  <rowItems count="5">
    <i>
      <x/>
    </i>
    <i>
      <x v="1"/>
    </i>
    <i>
      <x v="2"/>
    </i>
    <i>
      <x v="3"/>
    </i>
    <i t="grand">
      <x/>
    </i>
  </rowItems>
  <colItems count="1">
    <i/>
  </colItems>
  <dataFields count="1">
    <dataField name="Average of Total_Revenue" fld="12" subtotal="average" baseField="4" baseItem="0"/>
  </dataFields>
  <formats count="18">
    <format dxfId="3008">
      <pivotArea type="all" dataOnly="0" outline="0" fieldPosition="0"/>
    </format>
    <format dxfId="3009">
      <pivotArea outline="0" collapsedLevelsAreSubtotals="1" fieldPosition="0"/>
    </format>
    <format dxfId="3010">
      <pivotArea field="4" type="button" dataOnly="0" labelOnly="1" outline="0" axis="axisRow" fieldPosition="0"/>
    </format>
    <format dxfId="3011">
      <pivotArea dataOnly="0" labelOnly="1" fieldPosition="0">
        <references count="1">
          <reference field="4" count="0"/>
        </references>
      </pivotArea>
    </format>
    <format dxfId="3012">
      <pivotArea dataOnly="0" labelOnly="1" grandRow="1" outline="0" fieldPosition="0"/>
    </format>
    <format dxfId="3013">
      <pivotArea dataOnly="0" labelOnly="1" outline="0" axis="axisValues" fieldPosition="0"/>
    </format>
    <format dxfId="2969">
      <pivotArea type="all" dataOnly="0" outline="0" fieldPosition="0"/>
    </format>
    <format dxfId="2968">
      <pivotArea outline="0" collapsedLevelsAreSubtotals="1" fieldPosition="0"/>
    </format>
    <format dxfId="2967">
      <pivotArea field="4" type="button" dataOnly="0" labelOnly="1" outline="0" axis="axisRow" fieldPosition="0"/>
    </format>
    <format dxfId="2966">
      <pivotArea dataOnly="0" labelOnly="1" fieldPosition="0">
        <references count="1">
          <reference field="4" count="0"/>
        </references>
      </pivotArea>
    </format>
    <format dxfId="2965">
      <pivotArea dataOnly="0" labelOnly="1" grandRow="1" outline="0" fieldPosition="0"/>
    </format>
    <format dxfId="2964">
      <pivotArea dataOnly="0" labelOnly="1" outline="0" axis="axisValues" fieldPosition="0"/>
    </format>
    <format dxfId="2895">
      <pivotArea type="all" dataOnly="0" outline="0" fieldPosition="0"/>
    </format>
    <format dxfId="2894">
      <pivotArea outline="0" collapsedLevelsAreSubtotals="1" fieldPosition="0"/>
    </format>
    <format dxfId="2893">
      <pivotArea field="4" type="button" dataOnly="0" labelOnly="1" outline="0" axis="axisRow" fieldPosition="0"/>
    </format>
    <format dxfId="2892">
      <pivotArea dataOnly="0" labelOnly="1" fieldPosition="0">
        <references count="1">
          <reference field="4" count="0"/>
        </references>
      </pivotArea>
    </format>
    <format dxfId="2891">
      <pivotArea dataOnly="0" labelOnly="1" grandRow="1" outline="0" fieldPosition="0"/>
    </format>
    <format dxfId="2890">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5FF00B-6B4B-47BE-8100-E3BD02DCD18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B62" firstHeaderRow="1" firstDataRow="1" firstDataCol="1"/>
  <pivotFields count="15">
    <pivotField showAll="0"/>
    <pivotField showAll="0"/>
    <pivotField showAll="0"/>
    <pivotField showAll="0"/>
    <pivotField axis="axisRow" showAll="0">
      <items count="5">
        <item x="0"/>
        <item x="2"/>
        <item x="3"/>
        <item x="1"/>
        <item t="default"/>
      </items>
    </pivotField>
    <pivotField numFmtId="14" showAll="0"/>
    <pivotField numFmtId="14" showAll="0"/>
    <pivotField showAll="0"/>
    <pivotField showAll="0"/>
    <pivotField axis="axisRow" showAll="0">
      <items count="7">
        <item x="0"/>
        <item x="5"/>
        <item x="2"/>
        <item x="4"/>
        <item x="3"/>
        <item x="1"/>
        <item t="default"/>
      </items>
    </pivotField>
    <pivotField showAll="0"/>
    <pivotField numFmtId="2" showAll="0"/>
    <pivotField dataField="1" showAll="0"/>
    <pivotField showAll="0"/>
    <pivotField axis="axisRow" showAll="0">
      <items count="3">
        <item x="1"/>
        <item x="0"/>
        <item t="default"/>
      </items>
    </pivotField>
  </pivotFields>
  <rowFields count="3">
    <field x="9"/>
    <field x="4"/>
    <field x="14"/>
  </rowFields>
  <rowItems count="59">
    <i>
      <x/>
    </i>
    <i r="1">
      <x/>
    </i>
    <i r="2">
      <x v="1"/>
    </i>
    <i r="1">
      <x v="1"/>
    </i>
    <i r="2">
      <x v="1"/>
    </i>
    <i r="1">
      <x v="2"/>
    </i>
    <i r="2">
      <x/>
    </i>
    <i r="1">
      <x v="3"/>
    </i>
    <i r="2">
      <x/>
    </i>
    <i r="2">
      <x v="1"/>
    </i>
    <i>
      <x v="1"/>
    </i>
    <i r="1">
      <x/>
    </i>
    <i r="2">
      <x v="1"/>
    </i>
    <i r="1">
      <x v="1"/>
    </i>
    <i r="2">
      <x/>
    </i>
    <i r="1">
      <x v="2"/>
    </i>
    <i r="2">
      <x/>
    </i>
    <i r="1">
      <x v="3"/>
    </i>
    <i r="2">
      <x/>
    </i>
    <i>
      <x v="2"/>
    </i>
    <i r="1">
      <x/>
    </i>
    <i r="2">
      <x/>
    </i>
    <i r="1">
      <x v="1"/>
    </i>
    <i r="2">
      <x/>
    </i>
    <i r="1">
      <x v="3"/>
    </i>
    <i r="2">
      <x/>
    </i>
    <i r="2">
      <x v="1"/>
    </i>
    <i>
      <x v="3"/>
    </i>
    <i r="1">
      <x/>
    </i>
    <i r="2">
      <x v="1"/>
    </i>
    <i r="1">
      <x v="1"/>
    </i>
    <i r="2">
      <x/>
    </i>
    <i r="2">
      <x v="1"/>
    </i>
    <i r="1">
      <x v="2"/>
    </i>
    <i r="2">
      <x/>
    </i>
    <i r="1">
      <x v="3"/>
    </i>
    <i r="2">
      <x v="1"/>
    </i>
    <i>
      <x v="4"/>
    </i>
    <i r="1">
      <x/>
    </i>
    <i r="2">
      <x/>
    </i>
    <i r="2">
      <x v="1"/>
    </i>
    <i r="1">
      <x v="1"/>
    </i>
    <i r="2">
      <x/>
    </i>
    <i r="2">
      <x v="1"/>
    </i>
    <i r="1">
      <x v="2"/>
    </i>
    <i r="2">
      <x/>
    </i>
    <i r="2">
      <x v="1"/>
    </i>
    <i r="1">
      <x v="3"/>
    </i>
    <i r="2">
      <x/>
    </i>
    <i r="2">
      <x v="1"/>
    </i>
    <i>
      <x v="5"/>
    </i>
    <i r="1">
      <x/>
    </i>
    <i r="2">
      <x/>
    </i>
    <i r="2">
      <x v="1"/>
    </i>
    <i r="1">
      <x v="2"/>
    </i>
    <i r="2">
      <x v="1"/>
    </i>
    <i r="1">
      <x v="3"/>
    </i>
    <i r="2">
      <x/>
    </i>
    <i t="grand">
      <x/>
    </i>
  </rowItems>
  <colItems count="1">
    <i/>
  </colItems>
  <dataFields count="1">
    <dataField name="Sum of Total_Revenue" fld="12" baseField="0" baseItem="0"/>
  </dataFields>
  <formats count="136">
    <format dxfId="3003">
      <pivotArea type="all" dataOnly="0" outline="0" fieldPosition="0"/>
    </format>
    <format dxfId="3002">
      <pivotArea outline="0" collapsedLevelsAreSubtotals="1" fieldPosition="0"/>
    </format>
    <format dxfId="3001">
      <pivotArea field="9" type="button" dataOnly="0" labelOnly="1" outline="0" axis="axisRow" fieldPosition="0"/>
    </format>
    <format dxfId="3000">
      <pivotArea dataOnly="0" labelOnly="1" fieldPosition="0">
        <references count="1">
          <reference field="9" count="0"/>
        </references>
      </pivotArea>
    </format>
    <format dxfId="2999">
      <pivotArea dataOnly="0" labelOnly="1" grandRow="1" outline="0" fieldPosition="0"/>
    </format>
    <format dxfId="2998">
      <pivotArea dataOnly="0" labelOnly="1" fieldPosition="0">
        <references count="2">
          <reference field="4" count="0"/>
          <reference field="9" count="1" selected="0">
            <x v="0"/>
          </reference>
        </references>
      </pivotArea>
    </format>
    <format dxfId="2997">
      <pivotArea dataOnly="0" labelOnly="1" fieldPosition="0">
        <references count="2">
          <reference field="4" count="0"/>
          <reference field="9" count="1" selected="0">
            <x v="1"/>
          </reference>
        </references>
      </pivotArea>
    </format>
    <format dxfId="2996">
      <pivotArea dataOnly="0" labelOnly="1" fieldPosition="0">
        <references count="2">
          <reference field="4" count="3">
            <x v="0"/>
            <x v="1"/>
            <x v="3"/>
          </reference>
          <reference field="9" count="1" selected="0">
            <x v="2"/>
          </reference>
        </references>
      </pivotArea>
    </format>
    <format dxfId="2995">
      <pivotArea dataOnly="0" labelOnly="1" fieldPosition="0">
        <references count="2">
          <reference field="4" count="0"/>
          <reference field="9" count="1" selected="0">
            <x v="3"/>
          </reference>
        </references>
      </pivotArea>
    </format>
    <format dxfId="2994">
      <pivotArea dataOnly="0" labelOnly="1" fieldPosition="0">
        <references count="2">
          <reference field="4" count="0"/>
          <reference field="9" count="1" selected="0">
            <x v="4"/>
          </reference>
        </references>
      </pivotArea>
    </format>
    <format dxfId="2993">
      <pivotArea dataOnly="0" labelOnly="1" fieldPosition="0">
        <references count="2">
          <reference field="4" count="3">
            <x v="0"/>
            <x v="2"/>
            <x v="3"/>
          </reference>
          <reference field="9" count="1" selected="0">
            <x v="5"/>
          </reference>
        </references>
      </pivotArea>
    </format>
    <format dxfId="2992">
      <pivotArea dataOnly="0" labelOnly="1" fieldPosition="0">
        <references count="3">
          <reference field="4" count="1" selected="0">
            <x v="0"/>
          </reference>
          <reference field="9" count="1" selected="0">
            <x v="0"/>
          </reference>
          <reference field="14" count="1">
            <x v="1"/>
          </reference>
        </references>
      </pivotArea>
    </format>
    <format dxfId="2991">
      <pivotArea dataOnly="0" labelOnly="1" fieldPosition="0">
        <references count="3">
          <reference field="4" count="1" selected="0">
            <x v="1"/>
          </reference>
          <reference field="9" count="1" selected="0">
            <x v="0"/>
          </reference>
          <reference field="14" count="1">
            <x v="1"/>
          </reference>
        </references>
      </pivotArea>
    </format>
    <format dxfId="2990">
      <pivotArea dataOnly="0" labelOnly="1" fieldPosition="0">
        <references count="3">
          <reference field="4" count="1" selected="0">
            <x v="2"/>
          </reference>
          <reference field="9" count="1" selected="0">
            <x v="0"/>
          </reference>
          <reference field="14" count="1">
            <x v="0"/>
          </reference>
        </references>
      </pivotArea>
    </format>
    <format dxfId="2989">
      <pivotArea dataOnly="0" labelOnly="1" fieldPosition="0">
        <references count="3">
          <reference field="4" count="1" selected="0">
            <x v="3"/>
          </reference>
          <reference field="9" count="1" selected="0">
            <x v="0"/>
          </reference>
          <reference field="14" count="0"/>
        </references>
      </pivotArea>
    </format>
    <format dxfId="2988">
      <pivotArea dataOnly="0" labelOnly="1" fieldPosition="0">
        <references count="3">
          <reference field="4" count="1" selected="0">
            <x v="0"/>
          </reference>
          <reference field="9" count="1" selected="0">
            <x v="1"/>
          </reference>
          <reference field="14" count="1">
            <x v="1"/>
          </reference>
        </references>
      </pivotArea>
    </format>
    <format dxfId="2987">
      <pivotArea dataOnly="0" labelOnly="1" fieldPosition="0">
        <references count="3">
          <reference field="4" count="1" selected="0">
            <x v="1"/>
          </reference>
          <reference field="9" count="1" selected="0">
            <x v="1"/>
          </reference>
          <reference field="14" count="1">
            <x v="0"/>
          </reference>
        </references>
      </pivotArea>
    </format>
    <format dxfId="2986">
      <pivotArea dataOnly="0" labelOnly="1" fieldPosition="0">
        <references count="3">
          <reference field="4" count="1" selected="0">
            <x v="2"/>
          </reference>
          <reference field="9" count="1" selected="0">
            <x v="1"/>
          </reference>
          <reference field="14" count="1">
            <x v="0"/>
          </reference>
        </references>
      </pivotArea>
    </format>
    <format dxfId="2985">
      <pivotArea dataOnly="0" labelOnly="1" fieldPosition="0">
        <references count="3">
          <reference field="4" count="1" selected="0">
            <x v="3"/>
          </reference>
          <reference field="9" count="1" selected="0">
            <x v="1"/>
          </reference>
          <reference field="14" count="1">
            <x v="0"/>
          </reference>
        </references>
      </pivotArea>
    </format>
    <format dxfId="2984">
      <pivotArea dataOnly="0" labelOnly="1" fieldPosition="0">
        <references count="3">
          <reference field="4" count="1" selected="0">
            <x v="0"/>
          </reference>
          <reference field="9" count="1" selected="0">
            <x v="2"/>
          </reference>
          <reference field="14" count="1">
            <x v="0"/>
          </reference>
        </references>
      </pivotArea>
    </format>
    <format dxfId="2983">
      <pivotArea dataOnly="0" labelOnly="1" fieldPosition="0">
        <references count="3">
          <reference field="4" count="1" selected="0">
            <x v="1"/>
          </reference>
          <reference field="9" count="1" selected="0">
            <x v="2"/>
          </reference>
          <reference field="14" count="1">
            <x v="0"/>
          </reference>
        </references>
      </pivotArea>
    </format>
    <format dxfId="2982">
      <pivotArea dataOnly="0" labelOnly="1" fieldPosition="0">
        <references count="3">
          <reference field="4" count="1" selected="0">
            <x v="3"/>
          </reference>
          <reference field="9" count="1" selected="0">
            <x v="2"/>
          </reference>
          <reference field="14" count="0"/>
        </references>
      </pivotArea>
    </format>
    <format dxfId="2981">
      <pivotArea dataOnly="0" labelOnly="1" fieldPosition="0">
        <references count="3">
          <reference field="4" count="1" selected="0">
            <x v="0"/>
          </reference>
          <reference field="9" count="1" selected="0">
            <x v="3"/>
          </reference>
          <reference field="14" count="1">
            <x v="1"/>
          </reference>
        </references>
      </pivotArea>
    </format>
    <format dxfId="2980">
      <pivotArea dataOnly="0" labelOnly="1" fieldPosition="0">
        <references count="3">
          <reference field="4" count="1" selected="0">
            <x v="1"/>
          </reference>
          <reference field="9" count="1" selected="0">
            <x v="3"/>
          </reference>
          <reference field="14" count="0"/>
        </references>
      </pivotArea>
    </format>
    <format dxfId="2979">
      <pivotArea dataOnly="0" labelOnly="1" fieldPosition="0">
        <references count="3">
          <reference field="4" count="1" selected="0">
            <x v="2"/>
          </reference>
          <reference field="9" count="1" selected="0">
            <x v="3"/>
          </reference>
          <reference field="14" count="1">
            <x v="0"/>
          </reference>
        </references>
      </pivotArea>
    </format>
    <format dxfId="2978">
      <pivotArea dataOnly="0" labelOnly="1" fieldPosition="0">
        <references count="3">
          <reference field="4" count="1" selected="0">
            <x v="3"/>
          </reference>
          <reference field="9" count="1" selected="0">
            <x v="3"/>
          </reference>
          <reference field="14" count="1">
            <x v="1"/>
          </reference>
        </references>
      </pivotArea>
    </format>
    <format dxfId="2977">
      <pivotArea dataOnly="0" labelOnly="1" fieldPosition="0">
        <references count="3">
          <reference field="4" count="1" selected="0">
            <x v="0"/>
          </reference>
          <reference field="9" count="1" selected="0">
            <x v="4"/>
          </reference>
          <reference field="14" count="0"/>
        </references>
      </pivotArea>
    </format>
    <format dxfId="2976">
      <pivotArea dataOnly="0" labelOnly="1" fieldPosition="0">
        <references count="3">
          <reference field="4" count="1" selected="0">
            <x v="1"/>
          </reference>
          <reference field="9" count="1" selected="0">
            <x v="4"/>
          </reference>
          <reference field="14" count="0"/>
        </references>
      </pivotArea>
    </format>
    <format dxfId="2975">
      <pivotArea dataOnly="0" labelOnly="1" fieldPosition="0">
        <references count="3">
          <reference field="4" count="1" selected="0">
            <x v="2"/>
          </reference>
          <reference field="9" count="1" selected="0">
            <x v="4"/>
          </reference>
          <reference field="14" count="0"/>
        </references>
      </pivotArea>
    </format>
    <format dxfId="2974">
      <pivotArea dataOnly="0" labelOnly="1" fieldPosition="0">
        <references count="3">
          <reference field="4" count="1" selected="0">
            <x v="3"/>
          </reference>
          <reference field="9" count="1" selected="0">
            <x v="4"/>
          </reference>
          <reference field="14" count="0"/>
        </references>
      </pivotArea>
    </format>
    <format dxfId="2973">
      <pivotArea dataOnly="0" labelOnly="1" fieldPosition="0">
        <references count="3">
          <reference field="4" count="1" selected="0">
            <x v="0"/>
          </reference>
          <reference field="9" count="1" selected="0">
            <x v="5"/>
          </reference>
          <reference field="14" count="0"/>
        </references>
      </pivotArea>
    </format>
    <format dxfId="2972">
      <pivotArea dataOnly="0" labelOnly="1" fieldPosition="0">
        <references count="3">
          <reference field="4" count="1" selected="0">
            <x v="2"/>
          </reference>
          <reference field="9" count="1" selected="0">
            <x v="5"/>
          </reference>
          <reference field="14" count="1">
            <x v="1"/>
          </reference>
        </references>
      </pivotArea>
    </format>
    <format dxfId="2971">
      <pivotArea dataOnly="0" labelOnly="1" fieldPosition="0">
        <references count="3">
          <reference field="4" count="1" selected="0">
            <x v="3"/>
          </reference>
          <reference field="9" count="1" selected="0">
            <x v="5"/>
          </reference>
          <reference field="14" count="1">
            <x v="0"/>
          </reference>
        </references>
      </pivotArea>
    </format>
    <format dxfId="2970">
      <pivotArea dataOnly="0" labelOnly="1" outline="0" axis="axisValues" fieldPosition="0"/>
    </format>
    <format dxfId="2963">
      <pivotArea type="all" dataOnly="0" outline="0" fieldPosition="0"/>
    </format>
    <format dxfId="2962">
      <pivotArea outline="0" collapsedLevelsAreSubtotals="1" fieldPosition="0"/>
    </format>
    <format dxfId="2961">
      <pivotArea field="9" type="button" dataOnly="0" labelOnly="1" outline="0" axis="axisRow" fieldPosition="0"/>
    </format>
    <format dxfId="2960">
      <pivotArea dataOnly="0" labelOnly="1" fieldPosition="0">
        <references count="1">
          <reference field="9" count="0"/>
        </references>
      </pivotArea>
    </format>
    <format dxfId="2959">
      <pivotArea dataOnly="0" labelOnly="1" grandRow="1" outline="0" fieldPosition="0"/>
    </format>
    <format dxfId="2958">
      <pivotArea dataOnly="0" labelOnly="1" fieldPosition="0">
        <references count="2">
          <reference field="4" count="0"/>
          <reference field="9" count="1" selected="0">
            <x v="0"/>
          </reference>
        </references>
      </pivotArea>
    </format>
    <format dxfId="2957">
      <pivotArea dataOnly="0" labelOnly="1" fieldPosition="0">
        <references count="2">
          <reference field="4" count="0"/>
          <reference field="9" count="1" selected="0">
            <x v="1"/>
          </reference>
        </references>
      </pivotArea>
    </format>
    <format dxfId="2956">
      <pivotArea dataOnly="0" labelOnly="1" fieldPosition="0">
        <references count="2">
          <reference field="4" count="3">
            <x v="0"/>
            <x v="1"/>
            <x v="3"/>
          </reference>
          <reference field="9" count="1" selected="0">
            <x v="2"/>
          </reference>
        </references>
      </pivotArea>
    </format>
    <format dxfId="2955">
      <pivotArea dataOnly="0" labelOnly="1" fieldPosition="0">
        <references count="2">
          <reference field="4" count="0"/>
          <reference field="9" count="1" selected="0">
            <x v="3"/>
          </reference>
        </references>
      </pivotArea>
    </format>
    <format dxfId="2954">
      <pivotArea dataOnly="0" labelOnly="1" fieldPosition="0">
        <references count="2">
          <reference field="4" count="0"/>
          <reference field="9" count="1" selected="0">
            <x v="4"/>
          </reference>
        </references>
      </pivotArea>
    </format>
    <format dxfId="2953">
      <pivotArea dataOnly="0" labelOnly="1" fieldPosition="0">
        <references count="2">
          <reference field="4" count="3">
            <x v="0"/>
            <x v="2"/>
            <x v="3"/>
          </reference>
          <reference field="9" count="1" selected="0">
            <x v="5"/>
          </reference>
        </references>
      </pivotArea>
    </format>
    <format dxfId="2952">
      <pivotArea dataOnly="0" labelOnly="1" fieldPosition="0">
        <references count="3">
          <reference field="4" count="1" selected="0">
            <x v="0"/>
          </reference>
          <reference field="9" count="1" selected="0">
            <x v="0"/>
          </reference>
          <reference field="14" count="1">
            <x v="1"/>
          </reference>
        </references>
      </pivotArea>
    </format>
    <format dxfId="2951">
      <pivotArea dataOnly="0" labelOnly="1" fieldPosition="0">
        <references count="3">
          <reference field="4" count="1" selected="0">
            <x v="1"/>
          </reference>
          <reference field="9" count="1" selected="0">
            <x v="0"/>
          </reference>
          <reference field="14" count="1">
            <x v="1"/>
          </reference>
        </references>
      </pivotArea>
    </format>
    <format dxfId="2950">
      <pivotArea dataOnly="0" labelOnly="1" fieldPosition="0">
        <references count="3">
          <reference field="4" count="1" selected="0">
            <x v="2"/>
          </reference>
          <reference field="9" count="1" selected="0">
            <x v="0"/>
          </reference>
          <reference field="14" count="1">
            <x v="0"/>
          </reference>
        </references>
      </pivotArea>
    </format>
    <format dxfId="2949">
      <pivotArea dataOnly="0" labelOnly="1" fieldPosition="0">
        <references count="3">
          <reference field="4" count="1" selected="0">
            <x v="3"/>
          </reference>
          <reference field="9" count="1" selected="0">
            <x v="0"/>
          </reference>
          <reference field="14" count="0"/>
        </references>
      </pivotArea>
    </format>
    <format dxfId="2948">
      <pivotArea dataOnly="0" labelOnly="1" fieldPosition="0">
        <references count="3">
          <reference field="4" count="1" selected="0">
            <x v="0"/>
          </reference>
          <reference field="9" count="1" selected="0">
            <x v="1"/>
          </reference>
          <reference field="14" count="1">
            <x v="1"/>
          </reference>
        </references>
      </pivotArea>
    </format>
    <format dxfId="2947">
      <pivotArea dataOnly="0" labelOnly="1" fieldPosition="0">
        <references count="3">
          <reference field="4" count="1" selected="0">
            <x v="1"/>
          </reference>
          <reference field="9" count="1" selected="0">
            <x v="1"/>
          </reference>
          <reference field="14" count="1">
            <x v="0"/>
          </reference>
        </references>
      </pivotArea>
    </format>
    <format dxfId="2946">
      <pivotArea dataOnly="0" labelOnly="1" fieldPosition="0">
        <references count="3">
          <reference field="4" count="1" selected="0">
            <x v="2"/>
          </reference>
          <reference field="9" count="1" selected="0">
            <x v="1"/>
          </reference>
          <reference field="14" count="1">
            <x v="0"/>
          </reference>
        </references>
      </pivotArea>
    </format>
    <format dxfId="2945">
      <pivotArea dataOnly="0" labelOnly="1" fieldPosition="0">
        <references count="3">
          <reference field="4" count="1" selected="0">
            <x v="3"/>
          </reference>
          <reference field="9" count="1" selected="0">
            <x v="1"/>
          </reference>
          <reference field="14" count="1">
            <x v="0"/>
          </reference>
        </references>
      </pivotArea>
    </format>
    <format dxfId="2944">
      <pivotArea dataOnly="0" labelOnly="1" fieldPosition="0">
        <references count="3">
          <reference field="4" count="1" selected="0">
            <x v="0"/>
          </reference>
          <reference field="9" count="1" selected="0">
            <x v="2"/>
          </reference>
          <reference field="14" count="1">
            <x v="0"/>
          </reference>
        </references>
      </pivotArea>
    </format>
    <format dxfId="2943">
      <pivotArea dataOnly="0" labelOnly="1" fieldPosition="0">
        <references count="3">
          <reference field="4" count="1" selected="0">
            <x v="1"/>
          </reference>
          <reference field="9" count="1" selected="0">
            <x v="2"/>
          </reference>
          <reference field="14" count="1">
            <x v="0"/>
          </reference>
        </references>
      </pivotArea>
    </format>
    <format dxfId="2942">
      <pivotArea dataOnly="0" labelOnly="1" fieldPosition="0">
        <references count="3">
          <reference field="4" count="1" selected="0">
            <x v="3"/>
          </reference>
          <reference field="9" count="1" selected="0">
            <x v="2"/>
          </reference>
          <reference field="14" count="0"/>
        </references>
      </pivotArea>
    </format>
    <format dxfId="2941">
      <pivotArea dataOnly="0" labelOnly="1" fieldPosition="0">
        <references count="3">
          <reference field="4" count="1" selected="0">
            <x v="0"/>
          </reference>
          <reference field="9" count="1" selected="0">
            <x v="3"/>
          </reference>
          <reference field="14" count="1">
            <x v="1"/>
          </reference>
        </references>
      </pivotArea>
    </format>
    <format dxfId="2940">
      <pivotArea dataOnly="0" labelOnly="1" fieldPosition="0">
        <references count="3">
          <reference field="4" count="1" selected="0">
            <x v="1"/>
          </reference>
          <reference field="9" count="1" selected="0">
            <x v="3"/>
          </reference>
          <reference field="14" count="0"/>
        </references>
      </pivotArea>
    </format>
    <format dxfId="2939">
      <pivotArea dataOnly="0" labelOnly="1" fieldPosition="0">
        <references count="3">
          <reference field="4" count="1" selected="0">
            <x v="2"/>
          </reference>
          <reference field="9" count="1" selected="0">
            <x v="3"/>
          </reference>
          <reference field="14" count="1">
            <x v="0"/>
          </reference>
        </references>
      </pivotArea>
    </format>
    <format dxfId="2938">
      <pivotArea dataOnly="0" labelOnly="1" fieldPosition="0">
        <references count="3">
          <reference field="4" count="1" selected="0">
            <x v="3"/>
          </reference>
          <reference field="9" count="1" selected="0">
            <x v="3"/>
          </reference>
          <reference field="14" count="1">
            <x v="1"/>
          </reference>
        </references>
      </pivotArea>
    </format>
    <format dxfId="2937">
      <pivotArea dataOnly="0" labelOnly="1" fieldPosition="0">
        <references count="3">
          <reference field="4" count="1" selected="0">
            <x v="0"/>
          </reference>
          <reference field="9" count="1" selected="0">
            <x v="4"/>
          </reference>
          <reference field="14" count="0"/>
        </references>
      </pivotArea>
    </format>
    <format dxfId="2936">
      <pivotArea dataOnly="0" labelOnly="1" fieldPosition="0">
        <references count="3">
          <reference field="4" count="1" selected="0">
            <x v="1"/>
          </reference>
          <reference field="9" count="1" selected="0">
            <x v="4"/>
          </reference>
          <reference field="14" count="0"/>
        </references>
      </pivotArea>
    </format>
    <format dxfId="2935">
      <pivotArea dataOnly="0" labelOnly="1" fieldPosition="0">
        <references count="3">
          <reference field="4" count="1" selected="0">
            <x v="2"/>
          </reference>
          <reference field="9" count="1" selected="0">
            <x v="4"/>
          </reference>
          <reference field="14" count="0"/>
        </references>
      </pivotArea>
    </format>
    <format dxfId="2934">
      <pivotArea dataOnly="0" labelOnly="1" fieldPosition="0">
        <references count="3">
          <reference field="4" count="1" selected="0">
            <x v="3"/>
          </reference>
          <reference field="9" count="1" selected="0">
            <x v="4"/>
          </reference>
          <reference field="14" count="0"/>
        </references>
      </pivotArea>
    </format>
    <format dxfId="2933">
      <pivotArea dataOnly="0" labelOnly="1" fieldPosition="0">
        <references count="3">
          <reference field="4" count="1" selected="0">
            <x v="0"/>
          </reference>
          <reference field="9" count="1" selected="0">
            <x v="5"/>
          </reference>
          <reference field="14" count="0"/>
        </references>
      </pivotArea>
    </format>
    <format dxfId="2932">
      <pivotArea dataOnly="0" labelOnly="1" fieldPosition="0">
        <references count="3">
          <reference field="4" count="1" selected="0">
            <x v="2"/>
          </reference>
          <reference field="9" count="1" selected="0">
            <x v="5"/>
          </reference>
          <reference field="14" count="1">
            <x v="1"/>
          </reference>
        </references>
      </pivotArea>
    </format>
    <format dxfId="2931">
      <pivotArea dataOnly="0" labelOnly="1" fieldPosition="0">
        <references count="3">
          <reference field="4" count="1" selected="0">
            <x v="3"/>
          </reference>
          <reference field="9" count="1" selected="0">
            <x v="5"/>
          </reference>
          <reference field="14" count="1">
            <x v="0"/>
          </reference>
        </references>
      </pivotArea>
    </format>
    <format dxfId="2930">
      <pivotArea dataOnly="0" labelOnly="1" outline="0" axis="axisValues" fieldPosition="0"/>
    </format>
    <format dxfId="2929">
      <pivotArea type="all" dataOnly="0" outline="0" fieldPosition="0"/>
    </format>
    <format dxfId="2928">
      <pivotArea outline="0" collapsedLevelsAreSubtotals="1" fieldPosition="0"/>
    </format>
    <format dxfId="2927">
      <pivotArea field="9" type="button" dataOnly="0" labelOnly="1" outline="0" axis="axisRow" fieldPosition="0"/>
    </format>
    <format dxfId="2926">
      <pivotArea dataOnly="0" labelOnly="1" fieldPosition="0">
        <references count="1">
          <reference field="9" count="0"/>
        </references>
      </pivotArea>
    </format>
    <format dxfId="2925">
      <pivotArea dataOnly="0" labelOnly="1" grandRow="1" outline="0" fieldPosition="0"/>
    </format>
    <format dxfId="2924">
      <pivotArea dataOnly="0" labelOnly="1" fieldPosition="0">
        <references count="2">
          <reference field="4" count="0"/>
          <reference field="9" count="1" selected="0">
            <x v="0"/>
          </reference>
        </references>
      </pivotArea>
    </format>
    <format dxfId="2923">
      <pivotArea dataOnly="0" labelOnly="1" fieldPosition="0">
        <references count="2">
          <reference field="4" count="0"/>
          <reference field="9" count="1" selected="0">
            <x v="1"/>
          </reference>
        </references>
      </pivotArea>
    </format>
    <format dxfId="2922">
      <pivotArea dataOnly="0" labelOnly="1" fieldPosition="0">
        <references count="2">
          <reference field="4" count="3">
            <x v="0"/>
            <x v="1"/>
            <x v="3"/>
          </reference>
          <reference field="9" count="1" selected="0">
            <x v="2"/>
          </reference>
        </references>
      </pivotArea>
    </format>
    <format dxfId="2921">
      <pivotArea dataOnly="0" labelOnly="1" fieldPosition="0">
        <references count="2">
          <reference field="4" count="0"/>
          <reference field="9" count="1" selected="0">
            <x v="3"/>
          </reference>
        </references>
      </pivotArea>
    </format>
    <format dxfId="2920">
      <pivotArea dataOnly="0" labelOnly="1" fieldPosition="0">
        <references count="2">
          <reference field="4" count="0"/>
          <reference field="9" count="1" selected="0">
            <x v="4"/>
          </reference>
        </references>
      </pivotArea>
    </format>
    <format dxfId="2919">
      <pivotArea dataOnly="0" labelOnly="1" fieldPosition="0">
        <references count="2">
          <reference field="4" count="3">
            <x v="0"/>
            <x v="2"/>
            <x v="3"/>
          </reference>
          <reference field="9" count="1" selected="0">
            <x v="5"/>
          </reference>
        </references>
      </pivotArea>
    </format>
    <format dxfId="2918">
      <pivotArea dataOnly="0" labelOnly="1" fieldPosition="0">
        <references count="3">
          <reference field="4" count="1" selected="0">
            <x v="0"/>
          </reference>
          <reference field="9" count="1" selected="0">
            <x v="0"/>
          </reference>
          <reference field="14" count="1">
            <x v="1"/>
          </reference>
        </references>
      </pivotArea>
    </format>
    <format dxfId="2917">
      <pivotArea dataOnly="0" labelOnly="1" fieldPosition="0">
        <references count="3">
          <reference field="4" count="1" selected="0">
            <x v="1"/>
          </reference>
          <reference field="9" count="1" selected="0">
            <x v="0"/>
          </reference>
          <reference field="14" count="1">
            <x v="1"/>
          </reference>
        </references>
      </pivotArea>
    </format>
    <format dxfId="2916">
      <pivotArea dataOnly="0" labelOnly="1" fieldPosition="0">
        <references count="3">
          <reference field="4" count="1" selected="0">
            <x v="2"/>
          </reference>
          <reference field="9" count="1" selected="0">
            <x v="0"/>
          </reference>
          <reference field="14" count="1">
            <x v="0"/>
          </reference>
        </references>
      </pivotArea>
    </format>
    <format dxfId="2915">
      <pivotArea dataOnly="0" labelOnly="1" fieldPosition="0">
        <references count="3">
          <reference field="4" count="1" selected="0">
            <x v="3"/>
          </reference>
          <reference field="9" count="1" selected="0">
            <x v="0"/>
          </reference>
          <reference field="14" count="0"/>
        </references>
      </pivotArea>
    </format>
    <format dxfId="2914">
      <pivotArea dataOnly="0" labelOnly="1" fieldPosition="0">
        <references count="3">
          <reference field="4" count="1" selected="0">
            <x v="0"/>
          </reference>
          <reference field="9" count="1" selected="0">
            <x v="1"/>
          </reference>
          <reference field="14" count="1">
            <x v="1"/>
          </reference>
        </references>
      </pivotArea>
    </format>
    <format dxfId="2913">
      <pivotArea dataOnly="0" labelOnly="1" fieldPosition="0">
        <references count="3">
          <reference field="4" count="1" selected="0">
            <x v="1"/>
          </reference>
          <reference field="9" count="1" selected="0">
            <x v="1"/>
          </reference>
          <reference field="14" count="1">
            <x v="0"/>
          </reference>
        </references>
      </pivotArea>
    </format>
    <format dxfId="2912">
      <pivotArea dataOnly="0" labelOnly="1" fieldPosition="0">
        <references count="3">
          <reference field="4" count="1" selected="0">
            <x v="2"/>
          </reference>
          <reference field="9" count="1" selected="0">
            <x v="1"/>
          </reference>
          <reference field="14" count="1">
            <x v="0"/>
          </reference>
        </references>
      </pivotArea>
    </format>
    <format dxfId="2911">
      <pivotArea dataOnly="0" labelOnly="1" fieldPosition="0">
        <references count="3">
          <reference field="4" count="1" selected="0">
            <x v="3"/>
          </reference>
          <reference field="9" count="1" selected="0">
            <x v="1"/>
          </reference>
          <reference field="14" count="1">
            <x v="0"/>
          </reference>
        </references>
      </pivotArea>
    </format>
    <format dxfId="2910">
      <pivotArea dataOnly="0" labelOnly="1" fieldPosition="0">
        <references count="3">
          <reference field="4" count="1" selected="0">
            <x v="0"/>
          </reference>
          <reference field="9" count="1" selected="0">
            <x v="2"/>
          </reference>
          <reference field="14" count="1">
            <x v="0"/>
          </reference>
        </references>
      </pivotArea>
    </format>
    <format dxfId="2909">
      <pivotArea dataOnly="0" labelOnly="1" fieldPosition="0">
        <references count="3">
          <reference field="4" count="1" selected="0">
            <x v="1"/>
          </reference>
          <reference field="9" count="1" selected="0">
            <x v="2"/>
          </reference>
          <reference field="14" count="1">
            <x v="0"/>
          </reference>
        </references>
      </pivotArea>
    </format>
    <format dxfId="2908">
      <pivotArea dataOnly="0" labelOnly="1" fieldPosition="0">
        <references count="3">
          <reference field="4" count="1" selected="0">
            <x v="3"/>
          </reference>
          <reference field="9" count="1" selected="0">
            <x v="2"/>
          </reference>
          <reference field="14" count="0"/>
        </references>
      </pivotArea>
    </format>
    <format dxfId="2907">
      <pivotArea dataOnly="0" labelOnly="1" fieldPosition="0">
        <references count="3">
          <reference field="4" count="1" selected="0">
            <x v="0"/>
          </reference>
          <reference field="9" count="1" selected="0">
            <x v="3"/>
          </reference>
          <reference field="14" count="1">
            <x v="1"/>
          </reference>
        </references>
      </pivotArea>
    </format>
    <format dxfId="2906">
      <pivotArea dataOnly="0" labelOnly="1" fieldPosition="0">
        <references count="3">
          <reference field="4" count="1" selected="0">
            <x v="1"/>
          </reference>
          <reference field="9" count="1" selected="0">
            <x v="3"/>
          </reference>
          <reference field="14" count="0"/>
        </references>
      </pivotArea>
    </format>
    <format dxfId="2905">
      <pivotArea dataOnly="0" labelOnly="1" fieldPosition="0">
        <references count="3">
          <reference field="4" count="1" selected="0">
            <x v="2"/>
          </reference>
          <reference field="9" count="1" selected="0">
            <x v="3"/>
          </reference>
          <reference field="14" count="1">
            <x v="0"/>
          </reference>
        </references>
      </pivotArea>
    </format>
    <format dxfId="2904">
      <pivotArea dataOnly="0" labelOnly="1" fieldPosition="0">
        <references count="3">
          <reference field="4" count="1" selected="0">
            <x v="3"/>
          </reference>
          <reference field="9" count="1" selected="0">
            <x v="3"/>
          </reference>
          <reference field="14" count="1">
            <x v="1"/>
          </reference>
        </references>
      </pivotArea>
    </format>
    <format dxfId="2903">
      <pivotArea dataOnly="0" labelOnly="1" fieldPosition="0">
        <references count="3">
          <reference field="4" count="1" selected="0">
            <x v="0"/>
          </reference>
          <reference field="9" count="1" selected="0">
            <x v="4"/>
          </reference>
          <reference field="14" count="0"/>
        </references>
      </pivotArea>
    </format>
    <format dxfId="2902">
      <pivotArea dataOnly="0" labelOnly="1" fieldPosition="0">
        <references count="3">
          <reference field="4" count="1" selected="0">
            <x v="1"/>
          </reference>
          <reference field="9" count="1" selected="0">
            <x v="4"/>
          </reference>
          <reference field="14" count="0"/>
        </references>
      </pivotArea>
    </format>
    <format dxfId="2901">
      <pivotArea dataOnly="0" labelOnly="1" fieldPosition="0">
        <references count="3">
          <reference field="4" count="1" selected="0">
            <x v="2"/>
          </reference>
          <reference field="9" count="1" selected="0">
            <x v="4"/>
          </reference>
          <reference field="14" count="0"/>
        </references>
      </pivotArea>
    </format>
    <format dxfId="2900">
      <pivotArea dataOnly="0" labelOnly="1" fieldPosition="0">
        <references count="3">
          <reference field="4" count="1" selected="0">
            <x v="3"/>
          </reference>
          <reference field="9" count="1" selected="0">
            <x v="4"/>
          </reference>
          <reference field="14" count="0"/>
        </references>
      </pivotArea>
    </format>
    <format dxfId="2899">
      <pivotArea dataOnly="0" labelOnly="1" fieldPosition="0">
        <references count="3">
          <reference field="4" count="1" selected="0">
            <x v="0"/>
          </reference>
          <reference field="9" count="1" selected="0">
            <x v="5"/>
          </reference>
          <reference field="14" count="0"/>
        </references>
      </pivotArea>
    </format>
    <format dxfId="2898">
      <pivotArea dataOnly="0" labelOnly="1" fieldPosition="0">
        <references count="3">
          <reference field="4" count="1" selected="0">
            <x v="2"/>
          </reference>
          <reference field="9" count="1" selected="0">
            <x v="5"/>
          </reference>
          <reference field="14" count="1">
            <x v="1"/>
          </reference>
        </references>
      </pivotArea>
    </format>
    <format dxfId="2897">
      <pivotArea dataOnly="0" labelOnly="1" fieldPosition="0">
        <references count="3">
          <reference field="4" count="1" selected="0">
            <x v="3"/>
          </reference>
          <reference field="9" count="1" selected="0">
            <x v="5"/>
          </reference>
          <reference field="14" count="1">
            <x v="0"/>
          </reference>
        </references>
      </pivotArea>
    </format>
    <format dxfId="2896">
      <pivotArea dataOnly="0" labelOnly="1" outline="0" axis="axisValues" fieldPosition="0"/>
    </format>
    <format dxfId="2889">
      <pivotArea type="all" dataOnly="0" outline="0" fieldPosition="0"/>
    </format>
    <format dxfId="2888">
      <pivotArea outline="0" collapsedLevelsAreSubtotals="1" fieldPosition="0"/>
    </format>
    <format dxfId="2887">
      <pivotArea field="9" type="button" dataOnly="0" labelOnly="1" outline="0" axis="axisRow" fieldPosition="0"/>
    </format>
    <format dxfId="2886">
      <pivotArea dataOnly="0" labelOnly="1" fieldPosition="0">
        <references count="1">
          <reference field="9" count="0"/>
        </references>
      </pivotArea>
    </format>
    <format dxfId="2885">
      <pivotArea dataOnly="0" labelOnly="1" grandRow="1" outline="0" fieldPosition="0"/>
    </format>
    <format dxfId="2884">
      <pivotArea dataOnly="0" labelOnly="1" fieldPosition="0">
        <references count="2">
          <reference field="4" count="0"/>
          <reference field="9" count="1" selected="0">
            <x v="0"/>
          </reference>
        </references>
      </pivotArea>
    </format>
    <format dxfId="2883">
      <pivotArea dataOnly="0" labelOnly="1" fieldPosition="0">
        <references count="2">
          <reference field="4" count="0"/>
          <reference field="9" count="1" selected="0">
            <x v="1"/>
          </reference>
        </references>
      </pivotArea>
    </format>
    <format dxfId="2882">
      <pivotArea dataOnly="0" labelOnly="1" fieldPosition="0">
        <references count="2">
          <reference field="4" count="3">
            <x v="0"/>
            <x v="1"/>
            <x v="3"/>
          </reference>
          <reference field="9" count="1" selected="0">
            <x v="2"/>
          </reference>
        </references>
      </pivotArea>
    </format>
    <format dxfId="2881">
      <pivotArea dataOnly="0" labelOnly="1" fieldPosition="0">
        <references count="2">
          <reference field="4" count="0"/>
          <reference field="9" count="1" selected="0">
            <x v="3"/>
          </reference>
        </references>
      </pivotArea>
    </format>
    <format dxfId="2880">
      <pivotArea dataOnly="0" labelOnly="1" fieldPosition="0">
        <references count="2">
          <reference field="4" count="0"/>
          <reference field="9" count="1" selected="0">
            <x v="4"/>
          </reference>
        </references>
      </pivotArea>
    </format>
    <format dxfId="2879">
      <pivotArea dataOnly="0" labelOnly="1" fieldPosition="0">
        <references count="2">
          <reference field="4" count="3">
            <x v="0"/>
            <x v="2"/>
            <x v="3"/>
          </reference>
          <reference field="9" count="1" selected="0">
            <x v="5"/>
          </reference>
        </references>
      </pivotArea>
    </format>
    <format dxfId="2878">
      <pivotArea dataOnly="0" labelOnly="1" fieldPosition="0">
        <references count="3">
          <reference field="4" count="1" selected="0">
            <x v="0"/>
          </reference>
          <reference field="9" count="1" selected="0">
            <x v="0"/>
          </reference>
          <reference field="14" count="1">
            <x v="1"/>
          </reference>
        </references>
      </pivotArea>
    </format>
    <format dxfId="2877">
      <pivotArea dataOnly="0" labelOnly="1" fieldPosition="0">
        <references count="3">
          <reference field="4" count="1" selected="0">
            <x v="1"/>
          </reference>
          <reference field="9" count="1" selected="0">
            <x v="0"/>
          </reference>
          <reference field="14" count="1">
            <x v="1"/>
          </reference>
        </references>
      </pivotArea>
    </format>
    <format dxfId="2876">
      <pivotArea dataOnly="0" labelOnly="1" fieldPosition="0">
        <references count="3">
          <reference field="4" count="1" selected="0">
            <x v="2"/>
          </reference>
          <reference field="9" count="1" selected="0">
            <x v="0"/>
          </reference>
          <reference field="14" count="1">
            <x v="0"/>
          </reference>
        </references>
      </pivotArea>
    </format>
    <format dxfId="2875">
      <pivotArea dataOnly="0" labelOnly="1" fieldPosition="0">
        <references count="3">
          <reference field="4" count="1" selected="0">
            <x v="3"/>
          </reference>
          <reference field="9" count="1" selected="0">
            <x v="0"/>
          </reference>
          <reference field="14" count="0"/>
        </references>
      </pivotArea>
    </format>
    <format dxfId="2874">
      <pivotArea dataOnly="0" labelOnly="1" fieldPosition="0">
        <references count="3">
          <reference field="4" count="1" selected="0">
            <x v="0"/>
          </reference>
          <reference field="9" count="1" selected="0">
            <x v="1"/>
          </reference>
          <reference field="14" count="1">
            <x v="1"/>
          </reference>
        </references>
      </pivotArea>
    </format>
    <format dxfId="2873">
      <pivotArea dataOnly="0" labelOnly="1" fieldPosition="0">
        <references count="3">
          <reference field="4" count="1" selected="0">
            <x v="1"/>
          </reference>
          <reference field="9" count="1" selected="0">
            <x v="1"/>
          </reference>
          <reference field="14" count="1">
            <x v="0"/>
          </reference>
        </references>
      </pivotArea>
    </format>
    <format dxfId="2872">
      <pivotArea dataOnly="0" labelOnly="1" fieldPosition="0">
        <references count="3">
          <reference field="4" count="1" selected="0">
            <x v="2"/>
          </reference>
          <reference field="9" count="1" selected="0">
            <x v="1"/>
          </reference>
          <reference field="14" count="1">
            <x v="0"/>
          </reference>
        </references>
      </pivotArea>
    </format>
    <format dxfId="2871">
      <pivotArea dataOnly="0" labelOnly="1" fieldPosition="0">
        <references count="3">
          <reference field="4" count="1" selected="0">
            <x v="3"/>
          </reference>
          <reference field="9" count="1" selected="0">
            <x v="1"/>
          </reference>
          <reference field="14" count="1">
            <x v="0"/>
          </reference>
        </references>
      </pivotArea>
    </format>
    <format dxfId="2870">
      <pivotArea dataOnly="0" labelOnly="1" fieldPosition="0">
        <references count="3">
          <reference field="4" count="1" selected="0">
            <x v="0"/>
          </reference>
          <reference field="9" count="1" selected="0">
            <x v="2"/>
          </reference>
          <reference field="14" count="1">
            <x v="0"/>
          </reference>
        </references>
      </pivotArea>
    </format>
    <format dxfId="2869">
      <pivotArea dataOnly="0" labelOnly="1" fieldPosition="0">
        <references count="3">
          <reference field="4" count="1" selected="0">
            <x v="1"/>
          </reference>
          <reference field="9" count="1" selected="0">
            <x v="2"/>
          </reference>
          <reference field="14" count="1">
            <x v="0"/>
          </reference>
        </references>
      </pivotArea>
    </format>
    <format dxfId="2868">
      <pivotArea dataOnly="0" labelOnly="1" fieldPosition="0">
        <references count="3">
          <reference field="4" count="1" selected="0">
            <x v="3"/>
          </reference>
          <reference field="9" count="1" selected="0">
            <x v="2"/>
          </reference>
          <reference field="14" count="0"/>
        </references>
      </pivotArea>
    </format>
    <format dxfId="2867">
      <pivotArea dataOnly="0" labelOnly="1" fieldPosition="0">
        <references count="3">
          <reference field="4" count="1" selected="0">
            <x v="0"/>
          </reference>
          <reference field="9" count="1" selected="0">
            <x v="3"/>
          </reference>
          <reference field="14" count="1">
            <x v="1"/>
          </reference>
        </references>
      </pivotArea>
    </format>
    <format dxfId="2866">
      <pivotArea dataOnly="0" labelOnly="1" fieldPosition="0">
        <references count="3">
          <reference field="4" count="1" selected="0">
            <x v="1"/>
          </reference>
          <reference field="9" count="1" selected="0">
            <x v="3"/>
          </reference>
          <reference field="14" count="0"/>
        </references>
      </pivotArea>
    </format>
    <format dxfId="2865">
      <pivotArea dataOnly="0" labelOnly="1" fieldPosition="0">
        <references count="3">
          <reference field="4" count="1" selected="0">
            <x v="2"/>
          </reference>
          <reference field="9" count="1" selected="0">
            <x v="3"/>
          </reference>
          <reference field="14" count="1">
            <x v="0"/>
          </reference>
        </references>
      </pivotArea>
    </format>
    <format dxfId="2864">
      <pivotArea dataOnly="0" labelOnly="1" fieldPosition="0">
        <references count="3">
          <reference field="4" count="1" selected="0">
            <x v="3"/>
          </reference>
          <reference field="9" count="1" selected="0">
            <x v="3"/>
          </reference>
          <reference field="14" count="1">
            <x v="1"/>
          </reference>
        </references>
      </pivotArea>
    </format>
    <format dxfId="2863">
      <pivotArea dataOnly="0" labelOnly="1" fieldPosition="0">
        <references count="3">
          <reference field="4" count="1" selected="0">
            <x v="0"/>
          </reference>
          <reference field="9" count="1" selected="0">
            <x v="4"/>
          </reference>
          <reference field="14" count="0"/>
        </references>
      </pivotArea>
    </format>
    <format dxfId="2862">
      <pivotArea dataOnly="0" labelOnly="1" fieldPosition="0">
        <references count="3">
          <reference field="4" count="1" selected="0">
            <x v="1"/>
          </reference>
          <reference field="9" count="1" selected="0">
            <x v="4"/>
          </reference>
          <reference field="14" count="0"/>
        </references>
      </pivotArea>
    </format>
    <format dxfId="2861">
      <pivotArea dataOnly="0" labelOnly="1" fieldPosition="0">
        <references count="3">
          <reference field="4" count="1" selected="0">
            <x v="2"/>
          </reference>
          <reference field="9" count="1" selected="0">
            <x v="4"/>
          </reference>
          <reference field="14" count="0"/>
        </references>
      </pivotArea>
    </format>
    <format dxfId="2860">
      <pivotArea dataOnly="0" labelOnly="1" fieldPosition="0">
        <references count="3">
          <reference field="4" count="1" selected="0">
            <x v="3"/>
          </reference>
          <reference field="9" count="1" selected="0">
            <x v="4"/>
          </reference>
          <reference field="14" count="0"/>
        </references>
      </pivotArea>
    </format>
    <format dxfId="2859">
      <pivotArea dataOnly="0" labelOnly="1" fieldPosition="0">
        <references count="3">
          <reference field="4" count="1" selected="0">
            <x v="0"/>
          </reference>
          <reference field="9" count="1" selected="0">
            <x v="5"/>
          </reference>
          <reference field="14" count="0"/>
        </references>
      </pivotArea>
    </format>
    <format dxfId="2858">
      <pivotArea dataOnly="0" labelOnly="1" fieldPosition="0">
        <references count="3">
          <reference field="4" count="1" selected="0">
            <x v="2"/>
          </reference>
          <reference field="9" count="1" selected="0">
            <x v="5"/>
          </reference>
          <reference field="14" count="1">
            <x v="1"/>
          </reference>
        </references>
      </pivotArea>
    </format>
    <format dxfId="2857">
      <pivotArea dataOnly="0" labelOnly="1" fieldPosition="0">
        <references count="3">
          <reference field="4" count="1" selected="0">
            <x v="3"/>
          </reference>
          <reference field="9" count="1" selected="0">
            <x v="5"/>
          </reference>
          <reference field="14" count="1">
            <x v="0"/>
          </reference>
        </references>
      </pivotArea>
    </format>
    <format dxfId="2856">
      <pivotArea dataOnly="0" labelOnly="1" outline="0" axis="axisValues" fieldPosition="0"/>
    </format>
  </formats>
  <conditionalFormats count="1">
    <conditionalFormat type="all" priority="1">
      <pivotAreas count="1">
        <pivotArea type="data" collapsedLevelsAreSubtotals="1" fieldPosition="0">
          <references count="3">
            <reference field="4294967294" count="1" selected="0">
              <x v="0"/>
            </reference>
            <reference field="4" count="1">
              <x v="1"/>
            </reference>
            <reference field="9" count="1" selected="0">
              <x v="1"/>
            </reference>
          </references>
        </pivotArea>
      </pivotAreas>
    </conditionalFormat>
  </conditionalFormats>
  <chartFormats count="1">
    <chartFormat chart="55" format="2" series="1">
      <pivotArea type="data" outline="0" fieldPosition="0">
        <references count="1">
          <reference field="4294967294" count="1" selected="0">
            <x v="0"/>
          </reference>
        </references>
      </pivotArea>
    </chartFormat>
  </chartFormats>
  <pivotTableStyleInfo name="PivotStyleDark15"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C4493-652F-40FB-81D1-6F9F64D56DC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2" firstHeaderRow="1" firstDataRow="1" firstDataCol="1"/>
  <pivotFields count="13">
    <pivotField showAll="0"/>
    <pivotField showAll="0"/>
    <pivotField showAll="0"/>
    <pivotField dataField="1" showAll="0">
      <items count="3">
        <item x="1"/>
        <item x="0"/>
        <item t="default"/>
      </items>
    </pivotField>
    <pivotField showAll="0">
      <items count="5">
        <item x="0"/>
        <item x="2"/>
        <item x="3"/>
        <item x="1"/>
        <item t="default"/>
      </items>
    </pivotField>
    <pivotField numFmtId="14" showAll="0"/>
    <pivotField numFmtId="14" showAll="0"/>
    <pivotField showAll="0"/>
    <pivotField showAll="0"/>
    <pivotField axis="axisRow" multipleItemSelectionAllowed="1" showAll="0">
      <items count="7">
        <item x="0"/>
        <item x="5"/>
        <item x="2"/>
        <item x="4"/>
        <item x="3"/>
        <item x="1"/>
        <item t="default"/>
      </items>
    </pivotField>
    <pivotField showAll="0"/>
    <pivotField numFmtId="2" showAll="0"/>
    <pivotField showAll="0"/>
  </pivotFields>
  <rowFields count="1">
    <field x="9"/>
  </rowFields>
  <rowItems count="7">
    <i>
      <x/>
    </i>
    <i>
      <x v="1"/>
    </i>
    <i>
      <x v="2"/>
    </i>
    <i>
      <x v="3"/>
    </i>
    <i>
      <x v="4"/>
    </i>
    <i>
      <x v="5"/>
    </i>
    <i t="grand">
      <x/>
    </i>
  </rowItems>
  <colItems count="1">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30E241-835A-462D-A300-7404E43A0913}" sourceName="City">
  <pivotTables>
    <pivotTable tabId="15" name="PivotTable5"/>
  </pivotTables>
  <data>
    <tabular pivotCacheId="192564538">
      <items count="6">
        <i x="0" s="1"/>
        <i x="5"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D595C5-4821-4E38-B028-90A619682CAE}" sourceName="Gender">
  <pivotTables>
    <pivotTable tabId="17" name="PivotTable1"/>
  </pivotTables>
  <data>
    <tabular pivotCacheId="325436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089D4F6-E774-4A4F-9C82-1BC612E7356C}" cache="Slicer_City" caption="Cit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7BEDC90-3A4A-47C2-BDD3-1BCFF4D5ACEB}"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D0F10-AD54-4C59-A4FC-7CE7A6FE7FC6}" name="Table1" displayName="Table1" ref="B2:L37" totalsRowShown="0" headerRowDxfId="3090" headerRowBorderDxfId="3089" tableBorderDxfId="3088" totalsRowBorderDxfId="3087">
  <autoFilter ref="B2:L37" xr:uid="{C5ED0F10-AD54-4C59-A4FC-7CE7A6FE7FC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2FBCC36-5693-45F4-9D1D-7FDD1AFE7D4C}" name="Column1" dataDxfId="3086"/>
    <tableColumn id="2" xr3:uid="{A846F87F-235C-4104-A553-B83B31AABDBE}" name="Full_Name" dataDxfId="3085"/>
    <tableColumn id="3" xr3:uid="{BD6C62B1-6C13-4120-AA79-B6F4D1418D1E}" name="Age" dataDxfId="3084"/>
    <tableColumn id="4" xr3:uid="{01A4DE68-769B-4B37-9256-8AB5EBE4FD56}" name="Gender" dataDxfId="3083"/>
    <tableColumn id="5" xr3:uid="{16E4A016-6D38-414C-B017-5902880B3BD1}" name="Membership_Type" dataDxfId="3082"/>
    <tableColumn id="6" xr3:uid="{A17C6052-74A7-4576-B3BB-9E706837F253}" name="Start_Date" dataDxfId="3081"/>
    <tableColumn id="7" xr3:uid="{A68AFB31-02B4-4E6A-833B-5C6F0CC2927B}" name="End_Date" dataDxfId="3080"/>
    <tableColumn id="8" xr3:uid="{85F11AC6-904F-48A8-91B8-E48AE365912A}" name="Monthly_Fee" dataDxfId="3079"/>
    <tableColumn id="9" xr3:uid="{C56982BA-FAAE-4C89-B04D-4D2CCF879687}" name="Attendance" dataDxfId="3078"/>
    <tableColumn id="10" xr3:uid="{74F0EF53-4B36-47E6-A97F-631779CE3293}" name="City" dataDxfId="3077"/>
    <tableColumn id="11" xr3:uid="{86B43FBD-9984-4EB2-A1BC-00B5860F66BD}" name="Referred_By" dataDxfId="3076"/>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C7C556-776E-4C06-B0DF-D727935254FA}" name="Table13" displayName="Table13" ref="A2:L37" totalsRowShown="0" headerRowDxfId="3075" headerRowBorderDxfId="3074" tableBorderDxfId="3073" totalsRowBorderDxfId="3072">
  <autoFilter ref="A2:L37" xr:uid="{C8C7C556-776E-4C06-B0DF-D727935254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BE9EE52-139C-48CD-A9DA-910762964675}" name="Column1" dataDxfId="3071"/>
    <tableColumn id="2" xr3:uid="{C7D4C680-CBBC-455C-9A65-D60CD39163D2}" name="Full_Name" dataDxfId="3070"/>
    <tableColumn id="3" xr3:uid="{2E8B0D77-1231-401D-AC2D-63D7D1E9FE3B}" name="Age" dataDxfId="3069"/>
    <tableColumn id="4" xr3:uid="{928B4447-4146-48D0-80A8-B3F3ED49D52A}" name="Gender" dataDxfId="3068"/>
    <tableColumn id="5" xr3:uid="{6727A9D2-6DD4-42E8-B1F1-EFCCEBEA51DF}" name="Membership_Type" dataDxfId="3067"/>
    <tableColumn id="6" xr3:uid="{1A55E227-29E8-48DB-97E3-F393CEF631CF}" name="Start_Date" dataDxfId="3066"/>
    <tableColumn id="7" xr3:uid="{EE777573-1FD4-4E48-9291-BDCC7336D5FD}" name="End_Date" dataDxfId="3065"/>
    <tableColumn id="8" xr3:uid="{544716E4-DEB4-4EFE-BC89-0A4657BD0533}" name="Monthly_Fee" dataDxfId="3064"/>
    <tableColumn id="9" xr3:uid="{05317A0C-B664-4666-BAF7-DD4784733755}" name="Attendance" dataDxfId="3063"/>
    <tableColumn id="10" xr3:uid="{3E8C8814-3350-4C01-BEAA-36B277B3F15F}" name="City" dataDxfId="3062"/>
    <tableColumn id="11" xr3:uid="{B85723DD-E307-4102-A4C3-E79FEDE5CE7E}" name="Referred_By" dataDxfId="3061"/>
    <tableColumn id="12" xr3:uid="{F4BD0748-0DA6-4245-9131-C7C73240B59B}" name="Membership_Duration_months " dataDxfId="3060">
      <calculatedColumnFormula>M3/30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02C313-709A-4648-A0B7-DA48BCB1D6FE}" name="Table135" displayName="Table135" ref="A2:M37" totalsRowShown="0" headerRowDxfId="3054" headerRowBorderDxfId="3053" tableBorderDxfId="3052" totalsRowBorderDxfId="3051">
  <autoFilter ref="A2:M37" xr:uid="{7C02C313-709A-4648-A0B7-DA48BCB1D6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FED6C3D-E5D1-4679-9741-D3D88F83E529}" name="Column1" dataDxfId="3050"/>
    <tableColumn id="2" xr3:uid="{A9A05871-576B-47ED-A238-455BF5EE0741}" name="Full_Name" dataDxfId="3049"/>
    <tableColumn id="3" xr3:uid="{696EFC39-5DFE-4DCC-BA63-67FF88367763}" name="Age" dataDxfId="3048"/>
    <tableColumn id="4" xr3:uid="{DD575D2C-FF9C-4105-8992-C1784102FBC6}" name="Gender" dataDxfId="3047"/>
    <tableColumn id="5" xr3:uid="{A86A9FFF-FF1C-485C-ABA4-8EF8F5229B68}" name="Membership_Type" dataDxfId="3046"/>
    <tableColumn id="6" xr3:uid="{A5F04ADD-70C0-4E89-B1E5-3771A26409A5}" name="Start_Date" dataDxfId="3045"/>
    <tableColumn id="7" xr3:uid="{1C592FC9-BD28-4ADB-AA83-95EC6A027D8C}" name="End_Date" dataDxfId="3044"/>
    <tableColumn id="8" xr3:uid="{8E2E26D6-671E-4F37-9F6E-FB8C96B812DE}" name="Monthly_Fee" dataDxfId="3043"/>
    <tableColumn id="9" xr3:uid="{AE193813-F3EA-44EF-BFBC-F83C562176ED}" name="Attendance" dataDxfId="3042"/>
    <tableColumn id="10" xr3:uid="{819A2557-BA8B-403B-88FB-F2000C7E2933}" name="City" dataDxfId="3041"/>
    <tableColumn id="11" xr3:uid="{90F5CEA8-320C-486B-8D88-7B391D50F339}" name="Referred_By" dataDxfId="3040"/>
    <tableColumn id="12" xr3:uid="{3084FAA0-F066-4783-99D8-71222639C4A6}" name="Membership_Duration_months " dataDxfId="3039">
      <calculatedColumnFormula>N3/30</calculatedColumnFormula>
    </tableColumn>
    <tableColumn id="13" xr3:uid="{7AE08690-8F74-4BDC-B623-84728917DB1D}" name="Total_Revenue" dataDxfId="3038">
      <calculatedColumnFormula>Table135[[#This Row],[Monthly_Fee]]*Table135[[#This Row],[Membership_Duration_months ]]</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AAB2AA-8883-4ED0-8247-BCA211EA2D0F}" name="Table136" displayName="Table136" ref="A2:L37" totalsRowShown="0" headerRowDxfId="3029" headerRowBorderDxfId="3028" tableBorderDxfId="3027" totalsRowBorderDxfId="3026">
  <autoFilter ref="A2:L37" xr:uid="{A8AAB2AA-8883-4ED0-8247-BCA211EA2D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B221902-7D84-4C6F-8984-7ADB4902E01D}" name="Column1" dataDxfId="3025"/>
    <tableColumn id="2" xr3:uid="{F58F0C31-0B8C-430D-8F0C-CFAE69AE1C4D}" name="Full_Name" dataDxfId="3024"/>
    <tableColumn id="3" xr3:uid="{FB6191A0-03C9-47E4-957F-659BB1D9DB6B}" name="Age" dataDxfId="3023"/>
    <tableColumn id="4" xr3:uid="{3B0B8AEB-597E-4811-9FEE-7B8BBB184919}" name="Gender" dataDxfId="3022"/>
    <tableColumn id="5" xr3:uid="{50CC5729-25E8-4E9B-92A8-CE08EAC9FF90}" name="Membership_Type" dataDxfId="3021"/>
    <tableColumn id="6" xr3:uid="{86F14FC2-FD42-42E9-BC70-D4DDC1E1E020}" name="Start_Date" dataDxfId="3020"/>
    <tableColumn id="7" xr3:uid="{3CC59EB9-CB63-4C46-995E-51DFE4F60740}" name="End_Date" dataDxfId="3019"/>
    <tableColumn id="8" xr3:uid="{DEB8BBE2-7BCD-4B5C-AF44-5482E2DDCC8E}" name="Monthly_Fee" dataDxfId="3018"/>
    <tableColumn id="9" xr3:uid="{F03CF38B-7BB1-4343-8B99-E741193C1D62}" name="Attendance" dataDxfId="3017"/>
    <tableColumn id="10" xr3:uid="{0DD841D4-40D7-4A36-A303-46F8DCB02547}" name="City" dataDxfId="3016"/>
    <tableColumn id="11" xr3:uid="{DE9D7B6A-11FD-4DE8-A485-15687E1D10F6}" name="Referred_By" dataDxfId="3015"/>
    <tableColumn id="12" xr3:uid="{F43671D9-0A8E-4481-BD3C-D46CEF9B7712}" name="Membership_Duration_months " dataDxfId="3014">
      <calculatedColumnFormula>M3/30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8C5C-3C41-4366-864E-AFE8208DAC36}">
  <dimension ref="B2:L37"/>
  <sheetViews>
    <sheetView topLeftCell="E1" workbookViewId="0">
      <selection activeCell="B27" sqref="B27"/>
    </sheetView>
  </sheetViews>
  <sheetFormatPr defaultRowHeight="14.4" x14ac:dyDescent="0.3"/>
  <cols>
    <col min="2" max="5" width="17.33203125" customWidth="1"/>
    <col min="6" max="6" width="18.6640625" customWidth="1"/>
    <col min="7" max="12" width="17.33203125" customWidth="1"/>
  </cols>
  <sheetData>
    <row r="2" spans="2:12" ht="15" thickBot="1" x14ac:dyDescent="0.35">
      <c r="B2" s="7" t="s">
        <v>107</v>
      </c>
      <c r="C2" s="8" t="s">
        <v>0</v>
      </c>
      <c r="D2" s="9" t="s">
        <v>1</v>
      </c>
      <c r="E2" s="9" t="s">
        <v>2</v>
      </c>
      <c r="F2" s="9" t="s">
        <v>3</v>
      </c>
      <c r="G2" s="9" t="s">
        <v>4</v>
      </c>
      <c r="H2" s="9" t="s">
        <v>5</v>
      </c>
      <c r="I2" s="9" t="s">
        <v>6</v>
      </c>
      <c r="J2" s="9" t="s">
        <v>7</v>
      </c>
      <c r="K2" s="9" t="s">
        <v>8</v>
      </c>
      <c r="L2" s="10" t="s">
        <v>9</v>
      </c>
    </row>
    <row r="3" spans="2:12" ht="19.2" customHeight="1" thickBot="1" x14ac:dyDescent="0.35">
      <c r="B3" s="1" t="s">
        <v>10</v>
      </c>
      <c r="C3" s="1" t="s">
        <v>11</v>
      </c>
      <c r="D3" s="2">
        <v>59</v>
      </c>
      <c r="E3" s="1" t="s">
        <v>12</v>
      </c>
      <c r="F3" s="1" t="s">
        <v>13</v>
      </c>
      <c r="G3" s="3">
        <v>45235</v>
      </c>
      <c r="H3" s="3">
        <v>45425</v>
      </c>
      <c r="I3" s="2">
        <v>800</v>
      </c>
      <c r="J3" s="2">
        <v>25</v>
      </c>
      <c r="K3" s="1" t="s">
        <v>14</v>
      </c>
      <c r="L3" s="5" t="s">
        <v>15</v>
      </c>
    </row>
    <row r="4" spans="2:12" ht="19.2" customHeight="1" thickBot="1" x14ac:dyDescent="0.35">
      <c r="B4" s="1" t="s">
        <v>16</v>
      </c>
      <c r="C4" s="1" t="s">
        <v>17</v>
      </c>
      <c r="D4" s="2">
        <v>27</v>
      </c>
      <c r="E4" s="1" t="s">
        <v>12</v>
      </c>
      <c r="F4" s="1" t="s">
        <v>13</v>
      </c>
      <c r="G4" s="3">
        <v>45714</v>
      </c>
      <c r="H4" s="3">
        <v>45740</v>
      </c>
      <c r="I4" s="2">
        <v>800</v>
      </c>
      <c r="J4" s="2">
        <v>20</v>
      </c>
      <c r="K4" s="1" t="s">
        <v>18</v>
      </c>
      <c r="L4" s="5" t="s">
        <v>19</v>
      </c>
    </row>
    <row r="5" spans="2:12" ht="19.2" customHeight="1" thickBot="1" x14ac:dyDescent="0.35">
      <c r="B5" s="1" t="s">
        <v>20</v>
      </c>
      <c r="C5" s="1" t="s">
        <v>21</v>
      </c>
      <c r="D5" s="2">
        <v>24</v>
      </c>
      <c r="E5" s="1" t="s">
        <v>12</v>
      </c>
      <c r="F5" s="1" t="s">
        <v>22</v>
      </c>
      <c r="G5" s="3">
        <v>45191</v>
      </c>
      <c r="H5" s="3">
        <v>45371</v>
      </c>
      <c r="I5" s="2">
        <v>1200</v>
      </c>
      <c r="J5" s="2">
        <v>18</v>
      </c>
      <c r="K5" s="1" t="s">
        <v>23</v>
      </c>
      <c r="L5" s="5" t="s">
        <v>24</v>
      </c>
    </row>
    <row r="6" spans="2:12" ht="19.2" customHeight="1" thickBot="1" x14ac:dyDescent="0.35">
      <c r="B6" s="1" t="s">
        <v>25</v>
      </c>
      <c r="C6" s="1" t="s">
        <v>26</v>
      </c>
      <c r="D6" s="2">
        <v>31</v>
      </c>
      <c r="E6" s="1" t="s">
        <v>27</v>
      </c>
      <c r="F6" s="1" t="s">
        <v>22</v>
      </c>
      <c r="G6" s="3">
        <v>45479</v>
      </c>
      <c r="H6" s="3">
        <v>45587</v>
      </c>
      <c r="I6" s="2">
        <v>1200</v>
      </c>
      <c r="J6" s="2">
        <v>16</v>
      </c>
      <c r="K6" s="1" t="s">
        <v>23</v>
      </c>
      <c r="L6" s="5" t="s">
        <v>28</v>
      </c>
    </row>
    <row r="7" spans="2:12" ht="19.2" customHeight="1" thickBot="1" x14ac:dyDescent="0.35">
      <c r="B7" s="1" t="s">
        <v>29</v>
      </c>
      <c r="C7" s="1" t="s">
        <v>30</v>
      </c>
      <c r="D7" s="2">
        <v>19</v>
      </c>
      <c r="E7" s="1" t="s">
        <v>12</v>
      </c>
      <c r="F7" s="1" t="s">
        <v>31</v>
      </c>
      <c r="G7" s="3">
        <v>45286</v>
      </c>
      <c r="H7" s="3">
        <v>45501</v>
      </c>
      <c r="I7" s="2">
        <v>2500</v>
      </c>
      <c r="J7" s="2">
        <v>12</v>
      </c>
      <c r="K7" s="1" t="s">
        <v>14</v>
      </c>
      <c r="L7" s="5" t="s">
        <v>32</v>
      </c>
    </row>
    <row r="8" spans="2:12" ht="19.2" customHeight="1" thickBot="1" x14ac:dyDescent="0.35">
      <c r="B8" s="1" t="s">
        <v>33</v>
      </c>
      <c r="C8" s="1" t="s">
        <v>34</v>
      </c>
      <c r="D8" s="2">
        <v>40</v>
      </c>
      <c r="E8" s="1" t="s">
        <v>12</v>
      </c>
      <c r="F8" s="1" t="s">
        <v>13</v>
      </c>
      <c r="G8" s="3">
        <v>45317</v>
      </c>
      <c r="H8" s="3">
        <v>45392</v>
      </c>
      <c r="I8" s="2">
        <v>800</v>
      </c>
      <c r="J8" s="2">
        <v>14</v>
      </c>
      <c r="K8" s="1" t="s">
        <v>35</v>
      </c>
      <c r="L8" s="5" t="s">
        <v>36</v>
      </c>
    </row>
    <row r="9" spans="2:12" ht="19.2" customHeight="1" thickBot="1" x14ac:dyDescent="0.35">
      <c r="B9" s="1" t="s">
        <v>37</v>
      </c>
      <c r="C9" s="1" t="s">
        <v>38</v>
      </c>
      <c r="D9" s="2">
        <v>41</v>
      </c>
      <c r="E9" s="1" t="s">
        <v>27</v>
      </c>
      <c r="F9" s="1" t="s">
        <v>13</v>
      </c>
      <c r="G9" s="3">
        <v>45588</v>
      </c>
      <c r="H9" s="3">
        <v>45677</v>
      </c>
      <c r="I9" s="2">
        <v>800</v>
      </c>
      <c r="J9" s="2">
        <v>25</v>
      </c>
      <c r="K9" s="1" t="s">
        <v>18</v>
      </c>
      <c r="L9" s="6"/>
    </row>
    <row r="10" spans="2:12" ht="19.2" customHeight="1" thickBot="1" x14ac:dyDescent="0.35">
      <c r="B10" s="1" t="s">
        <v>39</v>
      </c>
      <c r="C10" s="1" t="s">
        <v>40</v>
      </c>
      <c r="D10" s="2">
        <v>43</v>
      </c>
      <c r="E10" s="1" t="s">
        <v>12</v>
      </c>
      <c r="F10" s="1" t="s">
        <v>41</v>
      </c>
      <c r="G10" s="3">
        <v>45450</v>
      </c>
      <c r="H10" s="3">
        <v>45563</v>
      </c>
      <c r="I10" s="2">
        <v>1800</v>
      </c>
      <c r="J10" s="2">
        <v>28</v>
      </c>
      <c r="K10" s="1" t="s">
        <v>42</v>
      </c>
      <c r="L10" s="6"/>
    </row>
    <row r="11" spans="2:12" ht="19.2" customHeight="1" thickBot="1" x14ac:dyDescent="0.35">
      <c r="B11" s="1" t="s">
        <v>43</v>
      </c>
      <c r="C11" s="1" t="s">
        <v>44</v>
      </c>
      <c r="D11" s="2">
        <v>42</v>
      </c>
      <c r="E11" s="1" t="s">
        <v>12</v>
      </c>
      <c r="F11" s="1" t="s">
        <v>13</v>
      </c>
      <c r="G11" s="3">
        <v>45569</v>
      </c>
      <c r="H11" s="3">
        <v>45582</v>
      </c>
      <c r="I11" s="2">
        <v>800</v>
      </c>
      <c r="J11" s="2">
        <v>3</v>
      </c>
      <c r="K11" s="1" t="s">
        <v>42</v>
      </c>
      <c r="L11" s="5" t="s">
        <v>45</v>
      </c>
    </row>
    <row r="12" spans="2:12" ht="19.2" customHeight="1" thickBot="1" x14ac:dyDescent="0.35">
      <c r="B12" s="1" t="s">
        <v>46</v>
      </c>
      <c r="C12" s="1" t="s">
        <v>47</v>
      </c>
      <c r="D12" s="2">
        <v>37</v>
      </c>
      <c r="E12" s="1" t="s">
        <v>12</v>
      </c>
      <c r="F12" s="1" t="s">
        <v>22</v>
      </c>
      <c r="G12" s="3">
        <v>45202</v>
      </c>
      <c r="H12" s="3">
        <v>45280</v>
      </c>
      <c r="I12" s="2">
        <v>1200</v>
      </c>
      <c r="J12" s="2">
        <v>29</v>
      </c>
      <c r="K12" s="1" t="s">
        <v>35</v>
      </c>
      <c r="L12" s="5" t="s">
        <v>48</v>
      </c>
    </row>
    <row r="13" spans="2:12" ht="19.2" customHeight="1" thickBot="1" x14ac:dyDescent="0.35">
      <c r="B13" s="1" t="s">
        <v>49</v>
      </c>
      <c r="C13" s="1" t="s">
        <v>50</v>
      </c>
      <c r="D13" s="2">
        <v>48</v>
      </c>
      <c r="E13" s="1" t="s">
        <v>27</v>
      </c>
      <c r="F13" s="1" t="s">
        <v>22</v>
      </c>
      <c r="G13" s="3">
        <v>45297</v>
      </c>
      <c r="H13" s="3">
        <v>45459</v>
      </c>
      <c r="I13" s="2">
        <v>1200</v>
      </c>
      <c r="J13" s="2">
        <v>13</v>
      </c>
      <c r="K13" s="1" t="s">
        <v>14</v>
      </c>
      <c r="L13" s="5" t="s">
        <v>51</v>
      </c>
    </row>
    <row r="14" spans="2:12" ht="19.2" customHeight="1" thickBot="1" x14ac:dyDescent="0.35">
      <c r="B14" s="1" t="s">
        <v>52</v>
      </c>
      <c r="C14" s="1" t="s">
        <v>53</v>
      </c>
      <c r="D14" s="2">
        <v>36</v>
      </c>
      <c r="E14" s="1" t="s">
        <v>12</v>
      </c>
      <c r="F14" s="1" t="s">
        <v>22</v>
      </c>
      <c r="G14" s="3">
        <v>45154</v>
      </c>
      <c r="H14" s="3">
        <v>45568</v>
      </c>
      <c r="I14" s="2">
        <v>1200</v>
      </c>
      <c r="J14" s="2">
        <v>19</v>
      </c>
      <c r="K14" s="1" t="s">
        <v>42</v>
      </c>
      <c r="L14" s="5" t="s">
        <v>54</v>
      </c>
    </row>
    <row r="15" spans="2:12" ht="19.2" customHeight="1" thickBot="1" x14ac:dyDescent="0.35">
      <c r="B15" s="1" t="s">
        <v>55</v>
      </c>
      <c r="C15" s="1" t="s">
        <v>56</v>
      </c>
      <c r="D15" s="2">
        <v>48</v>
      </c>
      <c r="E15" s="1" t="s">
        <v>27</v>
      </c>
      <c r="F15" s="1" t="s">
        <v>41</v>
      </c>
      <c r="G15" s="3">
        <v>45556</v>
      </c>
      <c r="H15" s="3">
        <v>45641</v>
      </c>
      <c r="I15" s="2">
        <v>1800</v>
      </c>
      <c r="J15" s="2">
        <v>22</v>
      </c>
      <c r="K15" s="1" t="s">
        <v>42</v>
      </c>
      <c r="L15" s="6"/>
    </row>
    <row r="16" spans="2:12" ht="19.2" customHeight="1" thickBot="1" x14ac:dyDescent="0.35">
      <c r="B16" s="1" t="s">
        <v>57</v>
      </c>
      <c r="C16" s="1" t="s">
        <v>58</v>
      </c>
      <c r="D16" s="2">
        <v>39</v>
      </c>
      <c r="E16" s="1" t="s">
        <v>12</v>
      </c>
      <c r="F16" s="1" t="s">
        <v>22</v>
      </c>
      <c r="G16" s="3">
        <v>45065</v>
      </c>
      <c r="H16" s="3">
        <v>45242</v>
      </c>
      <c r="I16" s="2">
        <v>1200</v>
      </c>
      <c r="J16" s="2">
        <v>28</v>
      </c>
      <c r="K16" s="1" t="s">
        <v>35</v>
      </c>
      <c r="L16" s="6"/>
    </row>
    <row r="17" spans="2:12" ht="19.2" customHeight="1" thickBot="1" x14ac:dyDescent="0.35">
      <c r="B17" s="1" t="s">
        <v>59</v>
      </c>
      <c r="C17" s="1" t="s">
        <v>60</v>
      </c>
      <c r="D17" s="2">
        <v>44</v>
      </c>
      <c r="E17" s="1" t="s">
        <v>27</v>
      </c>
      <c r="F17" s="1" t="s">
        <v>13</v>
      </c>
      <c r="G17" s="3">
        <v>45333</v>
      </c>
      <c r="H17" s="3">
        <v>45540</v>
      </c>
      <c r="I17" s="2">
        <v>800</v>
      </c>
      <c r="J17" s="2">
        <v>8</v>
      </c>
      <c r="K17" s="4" t="s">
        <v>23</v>
      </c>
      <c r="L17" s="6"/>
    </row>
    <row r="18" spans="2:12" ht="19.2" customHeight="1" thickBot="1" x14ac:dyDescent="0.35">
      <c r="B18" s="1" t="s">
        <v>61</v>
      </c>
      <c r="C18" s="1" t="s">
        <v>62</v>
      </c>
      <c r="D18" s="2">
        <v>39</v>
      </c>
      <c r="E18" s="1" t="s">
        <v>12</v>
      </c>
      <c r="F18" s="1" t="s">
        <v>31</v>
      </c>
      <c r="G18" s="3">
        <v>45702</v>
      </c>
      <c r="H18" s="3">
        <v>45732</v>
      </c>
      <c r="I18" s="2">
        <v>2500</v>
      </c>
      <c r="J18" s="2">
        <v>14</v>
      </c>
      <c r="K18" s="1" t="s">
        <v>42</v>
      </c>
      <c r="L18" s="6"/>
    </row>
    <row r="19" spans="2:12" ht="19.2" customHeight="1" thickBot="1" x14ac:dyDescent="0.35">
      <c r="B19" s="1" t="s">
        <v>63</v>
      </c>
      <c r="C19" s="1" t="s">
        <v>64</v>
      </c>
      <c r="D19" s="2">
        <v>35</v>
      </c>
      <c r="E19" s="1" t="s">
        <v>12</v>
      </c>
      <c r="F19" s="1" t="s">
        <v>22</v>
      </c>
      <c r="G19" s="3">
        <v>45329</v>
      </c>
      <c r="H19" s="3">
        <v>45685</v>
      </c>
      <c r="I19" s="2">
        <v>1200</v>
      </c>
      <c r="J19" s="2">
        <v>25</v>
      </c>
      <c r="K19" s="4" t="s">
        <v>23</v>
      </c>
      <c r="L19" s="6"/>
    </row>
    <row r="20" spans="2:12" ht="19.2" customHeight="1" thickBot="1" x14ac:dyDescent="0.35">
      <c r="B20" s="1" t="s">
        <v>65</v>
      </c>
      <c r="C20" s="1" t="s">
        <v>66</v>
      </c>
      <c r="D20" s="2">
        <v>56</v>
      </c>
      <c r="E20" s="1" t="s">
        <v>27</v>
      </c>
      <c r="F20" s="1" t="s">
        <v>31</v>
      </c>
      <c r="G20" s="3">
        <v>45213</v>
      </c>
      <c r="H20" s="3">
        <v>45649</v>
      </c>
      <c r="I20" s="2">
        <v>2500</v>
      </c>
      <c r="J20" s="2">
        <v>13</v>
      </c>
      <c r="K20" s="1" t="s">
        <v>67</v>
      </c>
      <c r="L20" s="6"/>
    </row>
    <row r="21" spans="2:12" ht="19.2" customHeight="1" thickBot="1" x14ac:dyDescent="0.35">
      <c r="B21" s="1" t="s">
        <v>68</v>
      </c>
      <c r="C21" s="1" t="s">
        <v>69</v>
      </c>
      <c r="D21" s="2">
        <v>27</v>
      </c>
      <c r="E21" s="1" t="s">
        <v>27</v>
      </c>
      <c r="F21" s="1" t="s">
        <v>13</v>
      </c>
      <c r="G21" s="3">
        <v>45354</v>
      </c>
      <c r="H21" s="3">
        <v>45664</v>
      </c>
      <c r="I21" s="2">
        <v>800</v>
      </c>
      <c r="J21" s="2">
        <v>26</v>
      </c>
      <c r="K21" s="1" t="s">
        <v>35</v>
      </c>
      <c r="L21" s="6"/>
    </row>
    <row r="22" spans="2:12" ht="19.2" customHeight="1" thickBot="1" x14ac:dyDescent="0.35">
      <c r="B22" s="1" t="s">
        <v>70</v>
      </c>
      <c r="C22" s="1" t="s">
        <v>71</v>
      </c>
      <c r="D22" s="2">
        <v>28</v>
      </c>
      <c r="E22" s="1" t="s">
        <v>12</v>
      </c>
      <c r="F22" s="1" t="s">
        <v>31</v>
      </c>
      <c r="G22" s="3">
        <v>45417</v>
      </c>
      <c r="H22" s="3">
        <v>45608</v>
      </c>
      <c r="I22" s="2">
        <v>2500</v>
      </c>
      <c r="J22" s="2">
        <v>21</v>
      </c>
      <c r="K22" s="1" t="s">
        <v>35</v>
      </c>
      <c r="L22" s="5" t="s">
        <v>72</v>
      </c>
    </row>
    <row r="23" spans="2:12" ht="19.2" customHeight="1" thickBot="1" x14ac:dyDescent="0.35">
      <c r="B23" s="1" t="s">
        <v>73</v>
      </c>
      <c r="C23" s="1" t="s">
        <v>74</v>
      </c>
      <c r="D23" s="2">
        <v>57</v>
      </c>
      <c r="E23" s="1" t="s">
        <v>27</v>
      </c>
      <c r="F23" s="1" t="s">
        <v>41</v>
      </c>
      <c r="G23" s="3">
        <v>45146</v>
      </c>
      <c r="H23" s="3">
        <v>45674</v>
      </c>
      <c r="I23" s="2">
        <v>1800</v>
      </c>
      <c r="J23" s="2">
        <v>19</v>
      </c>
      <c r="K23" s="1" t="s">
        <v>35</v>
      </c>
      <c r="L23" s="6"/>
    </row>
    <row r="24" spans="2:12" ht="19.2" customHeight="1" thickBot="1" x14ac:dyDescent="0.35">
      <c r="B24" s="1" t="s">
        <v>75</v>
      </c>
      <c r="C24" s="1" t="s">
        <v>76</v>
      </c>
      <c r="D24" s="2">
        <v>26</v>
      </c>
      <c r="E24" s="1" t="s">
        <v>27</v>
      </c>
      <c r="F24" s="1" t="s">
        <v>41</v>
      </c>
      <c r="G24" s="3">
        <v>45320</v>
      </c>
      <c r="H24" s="3">
        <v>45616</v>
      </c>
      <c r="I24" s="2">
        <v>1800</v>
      </c>
      <c r="J24" s="2">
        <v>5</v>
      </c>
      <c r="K24" s="4" t="s">
        <v>14</v>
      </c>
      <c r="L24" s="6"/>
    </row>
    <row r="25" spans="2:12" ht="19.2" customHeight="1" thickBot="1" x14ac:dyDescent="0.35">
      <c r="B25" s="1" t="s">
        <v>77</v>
      </c>
      <c r="C25" s="1" t="s">
        <v>78</v>
      </c>
      <c r="D25" s="2">
        <v>48</v>
      </c>
      <c r="E25" s="1" t="s">
        <v>12</v>
      </c>
      <c r="F25" s="1" t="s">
        <v>41</v>
      </c>
      <c r="G25" s="3">
        <v>45451</v>
      </c>
      <c r="H25" s="3">
        <v>45455</v>
      </c>
      <c r="I25" s="2">
        <v>1800</v>
      </c>
      <c r="J25" s="2">
        <v>18</v>
      </c>
      <c r="K25" s="1" t="s">
        <v>67</v>
      </c>
      <c r="L25" s="6"/>
    </row>
    <row r="26" spans="2:12" ht="19.2" customHeight="1" thickBot="1" x14ac:dyDescent="0.35">
      <c r="B26" s="1" t="s">
        <v>79</v>
      </c>
      <c r="C26" s="1" t="s">
        <v>80</v>
      </c>
      <c r="D26" s="2">
        <v>25</v>
      </c>
      <c r="E26" s="1" t="s">
        <v>27</v>
      </c>
      <c r="F26" s="1" t="s">
        <v>22</v>
      </c>
      <c r="G26" s="3">
        <v>45439</v>
      </c>
      <c r="H26" s="3">
        <v>45730</v>
      </c>
      <c r="I26" s="2">
        <v>1200</v>
      </c>
      <c r="J26" s="2">
        <v>6</v>
      </c>
      <c r="K26" s="4" t="s">
        <v>14</v>
      </c>
      <c r="L26" s="6"/>
    </row>
    <row r="27" spans="2:12" ht="19.2" customHeight="1" thickBot="1" x14ac:dyDescent="0.35">
      <c r="B27" s="1" t="s">
        <v>81</v>
      </c>
      <c r="C27" s="1" t="s">
        <v>82</v>
      </c>
      <c r="D27" s="2">
        <v>53</v>
      </c>
      <c r="E27" s="1" t="s">
        <v>12</v>
      </c>
      <c r="F27" s="1" t="s">
        <v>41</v>
      </c>
      <c r="G27" s="3">
        <v>45286</v>
      </c>
      <c r="H27" s="3">
        <v>45372</v>
      </c>
      <c r="I27" s="2">
        <v>1800</v>
      </c>
      <c r="J27" s="2">
        <v>17</v>
      </c>
      <c r="K27" s="1" t="s">
        <v>35</v>
      </c>
      <c r="L27" s="5" t="s">
        <v>83</v>
      </c>
    </row>
    <row r="28" spans="2:12" ht="19.2" customHeight="1" thickBot="1" x14ac:dyDescent="0.35">
      <c r="B28" s="1" t="s">
        <v>84</v>
      </c>
      <c r="C28" s="1" t="s">
        <v>85</v>
      </c>
      <c r="D28" s="2">
        <v>42</v>
      </c>
      <c r="E28" s="1" t="s">
        <v>27</v>
      </c>
      <c r="F28" s="1" t="s">
        <v>22</v>
      </c>
      <c r="G28" s="3">
        <v>45702</v>
      </c>
      <c r="H28" s="3">
        <v>45727</v>
      </c>
      <c r="I28" s="2">
        <v>1200</v>
      </c>
      <c r="J28" s="2">
        <v>3</v>
      </c>
      <c r="K28" s="1" t="s">
        <v>67</v>
      </c>
      <c r="L28" s="6"/>
    </row>
    <row r="29" spans="2:12" ht="19.2" customHeight="1" thickBot="1" x14ac:dyDescent="0.35">
      <c r="B29" s="1" t="s">
        <v>86</v>
      </c>
      <c r="C29" s="1" t="s">
        <v>87</v>
      </c>
      <c r="D29" s="2">
        <v>24</v>
      </c>
      <c r="E29" s="1" t="s">
        <v>12</v>
      </c>
      <c r="F29" s="1" t="s">
        <v>31</v>
      </c>
      <c r="G29" s="3">
        <v>45698</v>
      </c>
      <c r="H29" s="3">
        <v>45726</v>
      </c>
      <c r="I29" s="2">
        <v>2500</v>
      </c>
      <c r="J29" s="2">
        <v>28</v>
      </c>
      <c r="K29" s="1" t="s">
        <v>35</v>
      </c>
      <c r="L29" s="6"/>
    </row>
    <row r="30" spans="2:12" ht="19.2" customHeight="1" thickBot="1" x14ac:dyDescent="0.35">
      <c r="B30" s="1" t="s">
        <v>88</v>
      </c>
      <c r="C30" s="1" t="s">
        <v>89</v>
      </c>
      <c r="D30" s="2">
        <v>53</v>
      </c>
      <c r="E30" s="1" t="s">
        <v>12</v>
      </c>
      <c r="F30" s="1" t="s">
        <v>22</v>
      </c>
      <c r="G30" s="3">
        <v>45614</v>
      </c>
      <c r="H30" s="3">
        <v>45645</v>
      </c>
      <c r="I30" s="2">
        <v>1200</v>
      </c>
      <c r="J30" s="2">
        <v>23</v>
      </c>
      <c r="K30" s="1" t="s">
        <v>18</v>
      </c>
      <c r="L30" s="6"/>
    </row>
    <row r="31" spans="2:12" ht="19.2" customHeight="1" thickBot="1" x14ac:dyDescent="0.35">
      <c r="B31" s="1" t="s">
        <v>90</v>
      </c>
      <c r="C31" s="1" t="s">
        <v>91</v>
      </c>
      <c r="D31" s="2">
        <v>29</v>
      </c>
      <c r="E31" s="1" t="s">
        <v>27</v>
      </c>
      <c r="F31" s="1" t="s">
        <v>31</v>
      </c>
      <c r="G31" s="3">
        <v>45401</v>
      </c>
      <c r="H31" s="3">
        <v>45408</v>
      </c>
      <c r="I31" s="2">
        <v>2500</v>
      </c>
      <c r="J31" s="2">
        <v>8</v>
      </c>
      <c r="K31" s="4" t="s">
        <v>23</v>
      </c>
      <c r="L31" s="6"/>
    </row>
    <row r="32" spans="2:12" ht="19.2" customHeight="1" thickBot="1" x14ac:dyDescent="0.35">
      <c r="B32" s="1" t="s">
        <v>92</v>
      </c>
      <c r="C32" s="1" t="s">
        <v>93</v>
      </c>
      <c r="D32" s="2">
        <v>31</v>
      </c>
      <c r="E32" s="1" t="s">
        <v>27</v>
      </c>
      <c r="F32" s="1" t="s">
        <v>31</v>
      </c>
      <c r="G32" s="3">
        <v>45667</v>
      </c>
      <c r="H32" s="3">
        <v>45745</v>
      </c>
      <c r="I32" s="2">
        <v>2500</v>
      </c>
      <c r="J32" s="2">
        <v>23</v>
      </c>
      <c r="K32" s="1" t="s">
        <v>42</v>
      </c>
      <c r="L32" s="5" t="s">
        <v>94</v>
      </c>
    </row>
    <row r="33" spans="2:12" ht="19.2" customHeight="1" thickBot="1" x14ac:dyDescent="0.35">
      <c r="B33" s="1" t="s">
        <v>95</v>
      </c>
      <c r="C33" s="1" t="s">
        <v>96</v>
      </c>
      <c r="D33" s="2">
        <v>52</v>
      </c>
      <c r="E33" s="1" t="s">
        <v>27</v>
      </c>
      <c r="F33" s="1" t="s">
        <v>13</v>
      </c>
      <c r="G33" s="3">
        <v>45088</v>
      </c>
      <c r="H33" s="3">
        <v>45656</v>
      </c>
      <c r="I33" s="2">
        <v>800</v>
      </c>
      <c r="J33" s="2">
        <v>9</v>
      </c>
      <c r="K33" s="1" t="s">
        <v>67</v>
      </c>
      <c r="L33" s="5" t="s">
        <v>97</v>
      </c>
    </row>
    <row r="34" spans="2:12" ht="19.2" customHeight="1" thickBot="1" x14ac:dyDescent="0.35">
      <c r="B34" s="1" t="s">
        <v>98</v>
      </c>
      <c r="C34" s="1" t="s">
        <v>99</v>
      </c>
      <c r="D34" s="2">
        <v>20</v>
      </c>
      <c r="E34" s="1" t="s">
        <v>12</v>
      </c>
      <c r="F34" s="1" t="s">
        <v>22</v>
      </c>
      <c r="G34" s="3">
        <v>45391</v>
      </c>
      <c r="H34" s="3">
        <v>45604</v>
      </c>
      <c r="I34" s="2">
        <v>1200</v>
      </c>
      <c r="J34" s="2">
        <v>2</v>
      </c>
      <c r="K34" s="1" t="s">
        <v>35</v>
      </c>
      <c r="L34" s="6"/>
    </row>
    <row r="35" spans="2:12" ht="19.2" customHeight="1" thickBot="1" x14ac:dyDescent="0.35">
      <c r="B35" s="1" t="s">
        <v>100</v>
      </c>
      <c r="C35" s="1" t="s">
        <v>101</v>
      </c>
      <c r="D35" s="2">
        <v>22</v>
      </c>
      <c r="E35" s="1" t="s">
        <v>12</v>
      </c>
      <c r="F35" s="1" t="s">
        <v>13</v>
      </c>
      <c r="G35" s="3">
        <v>45699</v>
      </c>
      <c r="H35" s="3">
        <v>45740</v>
      </c>
      <c r="I35" s="2">
        <v>800</v>
      </c>
      <c r="J35" s="2">
        <v>30</v>
      </c>
      <c r="K35" s="1" t="s">
        <v>35</v>
      </c>
      <c r="L35" s="6"/>
    </row>
    <row r="36" spans="2:12" ht="19.2" customHeight="1" thickBot="1" x14ac:dyDescent="0.35">
      <c r="B36" s="1" t="s">
        <v>102</v>
      </c>
      <c r="C36" s="1" t="s">
        <v>103</v>
      </c>
      <c r="D36" s="2">
        <v>23</v>
      </c>
      <c r="E36" s="1" t="s">
        <v>12</v>
      </c>
      <c r="F36" s="1" t="s">
        <v>41</v>
      </c>
      <c r="G36" s="3">
        <v>45588</v>
      </c>
      <c r="H36" s="3">
        <v>45721</v>
      </c>
      <c r="I36" s="2">
        <v>1800</v>
      </c>
      <c r="J36" s="2">
        <v>23</v>
      </c>
      <c r="K36" s="1" t="s">
        <v>18</v>
      </c>
      <c r="L36" s="5" t="s">
        <v>104</v>
      </c>
    </row>
    <row r="37" spans="2:12" ht="19.2" customHeight="1" x14ac:dyDescent="0.3">
      <c r="B37" s="11" t="s">
        <v>105</v>
      </c>
      <c r="C37" s="11" t="s">
        <v>106</v>
      </c>
      <c r="D37" s="12">
        <v>27</v>
      </c>
      <c r="E37" s="11" t="s">
        <v>27</v>
      </c>
      <c r="F37" s="11" t="s">
        <v>22</v>
      </c>
      <c r="G37" s="13">
        <v>45312</v>
      </c>
      <c r="H37" s="13">
        <v>45652</v>
      </c>
      <c r="I37" s="12">
        <v>1200</v>
      </c>
      <c r="J37" s="12">
        <v>27</v>
      </c>
      <c r="K37" s="11" t="s">
        <v>18</v>
      </c>
      <c r="L37" s="1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B8B2E-36B1-48F0-A879-4EB928AC6014}">
  <dimension ref="A2:M37"/>
  <sheetViews>
    <sheetView tabSelected="1" zoomScale="74" workbookViewId="0">
      <selection activeCell="B27" sqref="B27"/>
    </sheetView>
  </sheetViews>
  <sheetFormatPr defaultRowHeight="14.4" x14ac:dyDescent="0.3"/>
  <cols>
    <col min="2" max="11" width="16.77734375" customWidth="1"/>
    <col min="12" max="12" width="27.21875" style="16" customWidth="1"/>
    <col min="13" max="13" width="22" style="15" customWidth="1"/>
  </cols>
  <sheetData>
    <row r="2" spans="1:13" s="15" customFormat="1" ht="39" customHeight="1" x14ac:dyDescent="0.3">
      <c r="A2" s="17" t="s">
        <v>107</v>
      </c>
      <c r="B2" s="18" t="s">
        <v>0</v>
      </c>
      <c r="C2" s="19" t="s">
        <v>1</v>
      </c>
      <c r="D2" s="19" t="s">
        <v>2</v>
      </c>
      <c r="E2" s="19" t="s">
        <v>3</v>
      </c>
      <c r="F2" s="19" t="s">
        <v>4</v>
      </c>
      <c r="G2" s="19" t="s">
        <v>5</v>
      </c>
      <c r="H2" s="19" t="s">
        <v>6</v>
      </c>
      <c r="I2" s="19" t="s">
        <v>7</v>
      </c>
      <c r="J2" s="19" t="s">
        <v>8</v>
      </c>
      <c r="K2" s="18" t="s">
        <v>9</v>
      </c>
      <c r="L2" s="20" t="s">
        <v>109</v>
      </c>
      <c r="M2" s="15" t="s">
        <v>108</v>
      </c>
    </row>
    <row r="3" spans="1:13" ht="18" customHeight="1" x14ac:dyDescent="0.3">
      <c r="A3" s="21" t="s">
        <v>10</v>
      </c>
      <c r="B3" s="22" t="s">
        <v>11</v>
      </c>
      <c r="C3" s="23">
        <v>59</v>
      </c>
      <c r="D3" s="22" t="s">
        <v>12</v>
      </c>
      <c r="E3" s="22" t="s">
        <v>13</v>
      </c>
      <c r="F3" s="24">
        <v>45235</v>
      </c>
      <c r="G3" s="24">
        <v>45425</v>
      </c>
      <c r="H3" s="23">
        <v>800</v>
      </c>
      <c r="I3" s="23">
        <v>25</v>
      </c>
      <c r="J3" s="22" t="s">
        <v>14</v>
      </c>
      <c r="K3" s="25" t="s">
        <v>15</v>
      </c>
      <c r="L3" s="26">
        <f>M3/30</f>
        <v>6.333333333333333</v>
      </c>
      <c r="M3" s="15">
        <f>Table13[[#This Row],[End_Date]]-Table13[[#This Row],[Start_Date]]</f>
        <v>190</v>
      </c>
    </row>
    <row r="4" spans="1:13" ht="18" customHeight="1" x14ac:dyDescent="0.3">
      <c r="A4" s="21" t="s">
        <v>16</v>
      </c>
      <c r="B4" s="22" t="s">
        <v>17</v>
      </c>
      <c r="C4" s="23">
        <v>27</v>
      </c>
      <c r="D4" s="22" t="s">
        <v>12</v>
      </c>
      <c r="E4" s="22" t="s">
        <v>13</v>
      </c>
      <c r="F4" s="24">
        <v>45714</v>
      </c>
      <c r="G4" s="24">
        <v>45740</v>
      </c>
      <c r="H4" s="23">
        <v>800</v>
      </c>
      <c r="I4" s="23">
        <v>20</v>
      </c>
      <c r="J4" s="22" t="s">
        <v>18</v>
      </c>
      <c r="K4" s="25" t="s">
        <v>19</v>
      </c>
      <c r="L4" s="26">
        <f t="shared" ref="L4:L37" si="0">M4/30</f>
        <v>0.8666666666666667</v>
      </c>
      <c r="M4" s="15">
        <f>Table13[[#This Row],[End_Date]]-Table13[[#This Row],[Start_Date]]</f>
        <v>26</v>
      </c>
    </row>
    <row r="5" spans="1:13" ht="18" customHeight="1" x14ac:dyDescent="0.3">
      <c r="A5" s="21" t="s">
        <v>20</v>
      </c>
      <c r="B5" s="22" t="s">
        <v>21</v>
      </c>
      <c r="C5" s="23">
        <v>24</v>
      </c>
      <c r="D5" s="22" t="s">
        <v>12</v>
      </c>
      <c r="E5" s="22" t="s">
        <v>22</v>
      </c>
      <c r="F5" s="24">
        <v>45191</v>
      </c>
      <c r="G5" s="24">
        <v>45371</v>
      </c>
      <c r="H5" s="23">
        <v>1200</v>
      </c>
      <c r="I5" s="23">
        <v>18</v>
      </c>
      <c r="J5" s="22" t="s">
        <v>23</v>
      </c>
      <c r="K5" s="25" t="s">
        <v>24</v>
      </c>
      <c r="L5" s="26">
        <f t="shared" si="0"/>
        <v>6</v>
      </c>
      <c r="M5" s="15">
        <f>Table13[[#This Row],[End_Date]]-Table13[[#This Row],[Start_Date]]</f>
        <v>180</v>
      </c>
    </row>
    <row r="6" spans="1:13" ht="18" customHeight="1" x14ac:dyDescent="0.3">
      <c r="A6" s="21" t="s">
        <v>25</v>
      </c>
      <c r="B6" s="22" t="s">
        <v>26</v>
      </c>
      <c r="C6" s="23">
        <v>31</v>
      </c>
      <c r="D6" s="22" t="s">
        <v>27</v>
      </c>
      <c r="E6" s="22" t="s">
        <v>22</v>
      </c>
      <c r="F6" s="24">
        <v>45479</v>
      </c>
      <c r="G6" s="24">
        <v>45587</v>
      </c>
      <c r="H6" s="23">
        <v>1200</v>
      </c>
      <c r="I6" s="23">
        <v>16</v>
      </c>
      <c r="J6" s="22" t="s">
        <v>23</v>
      </c>
      <c r="K6" s="25" t="s">
        <v>28</v>
      </c>
      <c r="L6" s="26">
        <f t="shared" si="0"/>
        <v>3.6</v>
      </c>
      <c r="M6" s="15">
        <f>Table13[[#This Row],[End_Date]]-Table13[[#This Row],[Start_Date]]</f>
        <v>108</v>
      </c>
    </row>
    <row r="7" spans="1:13" ht="18" customHeight="1" x14ac:dyDescent="0.3">
      <c r="A7" s="21" t="s">
        <v>29</v>
      </c>
      <c r="B7" s="22" t="s">
        <v>30</v>
      </c>
      <c r="C7" s="23">
        <v>19</v>
      </c>
      <c r="D7" s="22" t="s">
        <v>12</v>
      </c>
      <c r="E7" s="22" t="s">
        <v>31</v>
      </c>
      <c r="F7" s="24">
        <v>45286</v>
      </c>
      <c r="G7" s="24">
        <v>45501</v>
      </c>
      <c r="H7" s="23">
        <v>2500</v>
      </c>
      <c r="I7" s="23">
        <v>12</v>
      </c>
      <c r="J7" s="22" t="s">
        <v>14</v>
      </c>
      <c r="K7" s="25" t="s">
        <v>32</v>
      </c>
      <c r="L7" s="26">
        <f t="shared" si="0"/>
        <v>7.166666666666667</v>
      </c>
      <c r="M7" s="15">
        <f>Table13[[#This Row],[End_Date]]-Table13[[#This Row],[Start_Date]]</f>
        <v>215</v>
      </c>
    </row>
    <row r="8" spans="1:13" ht="18" customHeight="1" x14ac:dyDescent="0.3">
      <c r="A8" s="21" t="s">
        <v>33</v>
      </c>
      <c r="B8" s="22" t="s">
        <v>34</v>
      </c>
      <c r="C8" s="23">
        <v>40</v>
      </c>
      <c r="D8" s="22" t="s">
        <v>12</v>
      </c>
      <c r="E8" s="22" t="s">
        <v>13</v>
      </c>
      <c r="F8" s="24">
        <v>45317</v>
      </c>
      <c r="G8" s="24">
        <v>45392</v>
      </c>
      <c r="H8" s="23">
        <v>800</v>
      </c>
      <c r="I8" s="23">
        <v>14</v>
      </c>
      <c r="J8" s="22" t="s">
        <v>35</v>
      </c>
      <c r="K8" s="25" t="s">
        <v>36</v>
      </c>
      <c r="L8" s="26">
        <f t="shared" si="0"/>
        <v>2.5</v>
      </c>
      <c r="M8" s="15">
        <f>Table13[[#This Row],[End_Date]]-Table13[[#This Row],[Start_Date]]</f>
        <v>75</v>
      </c>
    </row>
    <row r="9" spans="1:13" ht="18" customHeight="1" x14ac:dyDescent="0.3">
      <c r="A9" s="21" t="s">
        <v>37</v>
      </c>
      <c r="B9" s="22" t="s">
        <v>38</v>
      </c>
      <c r="C9" s="23">
        <v>41</v>
      </c>
      <c r="D9" s="22" t="s">
        <v>27</v>
      </c>
      <c r="E9" s="22" t="s">
        <v>13</v>
      </c>
      <c r="F9" s="24">
        <v>45588</v>
      </c>
      <c r="G9" s="24">
        <v>45677</v>
      </c>
      <c r="H9" s="23">
        <v>800</v>
      </c>
      <c r="I9" s="23">
        <v>25</v>
      </c>
      <c r="J9" s="22" t="s">
        <v>18</v>
      </c>
      <c r="K9" s="22"/>
      <c r="L9" s="26">
        <f t="shared" si="0"/>
        <v>2.9666666666666668</v>
      </c>
      <c r="M9" s="15">
        <f>Table13[[#This Row],[End_Date]]-Table13[[#This Row],[Start_Date]]</f>
        <v>89</v>
      </c>
    </row>
    <row r="10" spans="1:13" ht="18" customHeight="1" x14ac:dyDescent="0.3">
      <c r="A10" s="21" t="s">
        <v>39</v>
      </c>
      <c r="B10" s="22" t="s">
        <v>40</v>
      </c>
      <c r="C10" s="23">
        <v>43</v>
      </c>
      <c r="D10" s="22" t="s">
        <v>12</v>
      </c>
      <c r="E10" s="22" t="s">
        <v>41</v>
      </c>
      <c r="F10" s="24">
        <v>45450</v>
      </c>
      <c r="G10" s="24">
        <v>45563</v>
      </c>
      <c r="H10" s="23">
        <v>1800</v>
      </c>
      <c r="I10" s="23">
        <v>28</v>
      </c>
      <c r="J10" s="22" t="s">
        <v>42</v>
      </c>
      <c r="K10" s="22"/>
      <c r="L10" s="26">
        <f t="shared" si="0"/>
        <v>3.7666666666666666</v>
      </c>
      <c r="M10" s="15">
        <f>Table13[[#This Row],[End_Date]]-Table13[[#This Row],[Start_Date]]</f>
        <v>113</v>
      </c>
    </row>
    <row r="11" spans="1:13" ht="18" customHeight="1" x14ac:dyDescent="0.3">
      <c r="A11" s="21" t="s">
        <v>43</v>
      </c>
      <c r="B11" s="22" t="s">
        <v>44</v>
      </c>
      <c r="C11" s="23">
        <v>42</v>
      </c>
      <c r="D11" s="22" t="s">
        <v>12</v>
      </c>
      <c r="E11" s="22" t="s">
        <v>13</v>
      </c>
      <c r="F11" s="24">
        <v>45569</v>
      </c>
      <c r="G11" s="24">
        <v>45582</v>
      </c>
      <c r="H11" s="23">
        <v>800</v>
      </c>
      <c r="I11" s="23">
        <v>3</v>
      </c>
      <c r="J11" s="22" t="s">
        <v>42</v>
      </c>
      <c r="K11" s="25" t="s">
        <v>45</v>
      </c>
      <c r="L11" s="26">
        <f t="shared" si="0"/>
        <v>0.43333333333333335</v>
      </c>
      <c r="M11" s="15">
        <f>Table13[[#This Row],[End_Date]]-Table13[[#This Row],[Start_Date]]</f>
        <v>13</v>
      </c>
    </row>
    <row r="12" spans="1:13" ht="18" customHeight="1" x14ac:dyDescent="0.3">
      <c r="A12" s="21" t="s">
        <v>46</v>
      </c>
      <c r="B12" s="22" t="s">
        <v>47</v>
      </c>
      <c r="C12" s="23">
        <v>37</v>
      </c>
      <c r="D12" s="22" t="s">
        <v>12</v>
      </c>
      <c r="E12" s="22" t="s">
        <v>22</v>
      </c>
      <c r="F12" s="24">
        <v>45202</v>
      </c>
      <c r="G12" s="24">
        <v>45280</v>
      </c>
      <c r="H12" s="23">
        <v>1200</v>
      </c>
      <c r="I12" s="23">
        <v>29</v>
      </c>
      <c r="J12" s="22" t="s">
        <v>35</v>
      </c>
      <c r="K12" s="25" t="s">
        <v>48</v>
      </c>
      <c r="L12" s="26">
        <f t="shared" si="0"/>
        <v>2.6</v>
      </c>
      <c r="M12" s="15">
        <f>Table13[[#This Row],[End_Date]]-Table13[[#This Row],[Start_Date]]</f>
        <v>78</v>
      </c>
    </row>
    <row r="13" spans="1:13" ht="18" customHeight="1" x14ac:dyDescent="0.3">
      <c r="A13" s="21" t="s">
        <v>49</v>
      </c>
      <c r="B13" s="22" t="s">
        <v>50</v>
      </c>
      <c r="C13" s="23">
        <v>48</v>
      </c>
      <c r="D13" s="22" t="s">
        <v>27</v>
      </c>
      <c r="E13" s="22" t="s">
        <v>22</v>
      </c>
      <c r="F13" s="24">
        <v>45297</v>
      </c>
      <c r="G13" s="24">
        <v>45459</v>
      </c>
      <c r="H13" s="23">
        <v>1200</v>
      </c>
      <c r="I13" s="23">
        <v>13</v>
      </c>
      <c r="J13" s="22" t="s">
        <v>14</v>
      </c>
      <c r="K13" s="25" t="s">
        <v>51</v>
      </c>
      <c r="L13" s="26">
        <f t="shared" si="0"/>
        <v>5.4</v>
      </c>
      <c r="M13" s="15">
        <f>Table13[[#This Row],[End_Date]]-Table13[[#This Row],[Start_Date]]</f>
        <v>162</v>
      </c>
    </row>
    <row r="14" spans="1:13" ht="18" customHeight="1" x14ac:dyDescent="0.3">
      <c r="A14" s="21" t="s">
        <v>52</v>
      </c>
      <c r="B14" s="22" t="s">
        <v>53</v>
      </c>
      <c r="C14" s="23">
        <v>36</v>
      </c>
      <c r="D14" s="22" t="s">
        <v>12</v>
      </c>
      <c r="E14" s="22" t="s">
        <v>22</v>
      </c>
      <c r="F14" s="24">
        <v>45154</v>
      </c>
      <c r="G14" s="24">
        <v>45568</v>
      </c>
      <c r="H14" s="23">
        <v>1200</v>
      </c>
      <c r="I14" s="23">
        <v>19</v>
      </c>
      <c r="J14" s="22" t="s">
        <v>42</v>
      </c>
      <c r="K14" s="25" t="s">
        <v>54</v>
      </c>
      <c r="L14" s="26">
        <f t="shared" si="0"/>
        <v>13.8</v>
      </c>
      <c r="M14" s="15">
        <f>Table13[[#This Row],[End_Date]]-Table13[[#This Row],[Start_Date]]</f>
        <v>414</v>
      </c>
    </row>
    <row r="15" spans="1:13" ht="18" customHeight="1" x14ac:dyDescent="0.3">
      <c r="A15" s="21" t="s">
        <v>55</v>
      </c>
      <c r="B15" s="22" t="s">
        <v>56</v>
      </c>
      <c r="C15" s="23">
        <v>48</v>
      </c>
      <c r="D15" s="22" t="s">
        <v>27</v>
      </c>
      <c r="E15" s="22" t="s">
        <v>41</v>
      </c>
      <c r="F15" s="24">
        <v>45556</v>
      </c>
      <c r="G15" s="24">
        <v>45641</v>
      </c>
      <c r="H15" s="23">
        <v>1800</v>
      </c>
      <c r="I15" s="23">
        <v>22</v>
      </c>
      <c r="J15" s="22" t="s">
        <v>42</v>
      </c>
      <c r="K15" s="22"/>
      <c r="L15" s="26">
        <f t="shared" si="0"/>
        <v>2.8333333333333335</v>
      </c>
      <c r="M15" s="15">
        <f>Table13[[#This Row],[End_Date]]-Table13[[#This Row],[Start_Date]]</f>
        <v>85</v>
      </c>
    </row>
    <row r="16" spans="1:13" ht="18" customHeight="1" x14ac:dyDescent="0.3">
      <c r="A16" s="21" t="s">
        <v>57</v>
      </c>
      <c r="B16" s="22" t="s">
        <v>58</v>
      </c>
      <c r="C16" s="23">
        <v>39</v>
      </c>
      <c r="D16" s="22" t="s">
        <v>12</v>
      </c>
      <c r="E16" s="22" t="s">
        <v>22</v>
      </c>
      <c r="F16" s="24">
        <v>45065</v>
      </c>
      <c r="G16" s="24">
        <v>45242</v>
      </c>
      <c r="H16" s="23">
        <v>1200</v>
      </c>
      <c r="I16" s="23">
        <v>28</v>
      </c>
      <c r="J16" s="22" t="s">
        <v>35</v>
      </c>
      <c r="K16" s="22"/>
      <c r="L16" s="26">
        <f t="shared" si="0"/>
        <v>5.9</v>
      </c>
      <c r="M16" s="15">
        <f>Table13[[#This Row],[End_Date]]-Table13[[#This Row],[Start_Date]]</f>
        <v>177</v>
      </c>
    </row>
    <row r="17" spans="1:13" ht="18" customHeight="1" x14ac:dyDescent="0.3">
      <c r="A17" s="21" t="s">
        <v>59</v>
      </c>
      <c r="B17" s="22" t="s">
        <v>60</v>
      </c>
      <c r="C17" s="23">
        <v>44</v>
      </c>
      <c r="D17" s="22" t="s">
        <v>27</v>
      </c>
      <c r="E17" s="22" t="s">
        <v>13</v>
      </c>
      <c r="F17" s="24">
        <v>45333</v>
      </c>
      <c r="G17" s="24">
        <v>45540</v>
      </c>
      <c r="H17" s="23">
        <v>800</v>
      </c>
      <c r="I17" s="23">
        <v>8</v>
      </c>
      <c r="J17" s="25" t="s">
        <v>23</v>
      </c>
      <c r="K17" s="22"/>
      <c r="L17" s="26">
        <f t="shared" si="0"/>
        <v>6.9</v>
      </c>
      <c r="M17" s="15">
        <f>Table13[[#This Row],[End_Date]]-Table13[[#This Row],[Start_Date]]</f>
        <v>207</v>
      </c>
    </row>
    <row r="18" spans="1:13" ht="18" customHeight="1" x14ac:dyDescent="0.3">
      <c r="A18" s="21" t="s">
        <v>61</v>
      </c>
      <c r="B18" s="22" t="s">
        <v>62</v>
      </c>
      <c r="C18" s="23">
        <v>39</v>
      </c>
      <c r="D18" s="22" t="s">
        <v>12</v>
      </c>
      <c r="E18" s="22" t="s">
        <v>31</v>
      </c>
      <c r="F18" s="24">
        <v>45702</v>
      </c>
      <c r="G18" s="24">
        <v>45732</v>
      </c>
      <c r="H18" s="23">
        <v>2500</v>
      </c>
      <c r="I18" s="23">
        <v>14</v>
      </c>
      <c r="J18" s="22" t="s">
        <v>42</v>
      </c>
      <c r="K18" s="22"/>
      <c r="L18" s="26">
        <f t="shared" si="0"/>
        <v>1</v>
      </c>
      <c r="M18" s="15">
        <f>Table13[[#This Row],[End_Date]]-Table13[[#This Row],[Start_Date]]</f>
        <v>30</v>
      </c>
    </row>
    <row r="19" spans="1:13" ht="18" customHeight="1" x14ac:dyDescent="0.3">
      <c r="A19" s="21" t="s">
        <v>63</v>
      </c>
      <c r="B19" s="22" t="s">
        <v>64</v>
      </c>
      <c r="C19" s="23">
        <v>35</v>
      </c>
      <c r="D19" s="22" t="s">
        <v>12</v>
      </c>
      <c r="E19" s="22" t="s">
        <v>22</v>
      </c>
      <c r="F19" s="24">
        <v>45329</v>
      </c>
      <c r="G19" s="24">
        <v>45685</v>
      </c>
      <c r="H19" s="23">
        <v>1200</v>
      </c>
      <c r="I19" s="23">
        <v>25</v>
      </c>
      <c r="J19" s="25" t="s">
        <v>23</v>
      </c>
      <c r="K19" s="22"/>
      <c r="L19" s="26">
        <f t="shared" si="0"/>
        <v>11.866666666666667</v>
      </c>
      <c r="M19" s="15">
        <f>Table13[[#This Row],[End_Date]]-Table13[[#This Row],[Start_Date]]</f>
        <v>356</v>
      </c>
    </row>
    <row r="20" spans="1:13" ht="18" customHeight="1" x14ac:dyDescent="0.3">
      <c r="A20" s="21" t="s">
        <v>65</v>
      </c>
      <c r="B20" s="22" t="s">
        <v>66</v>
      </c>
      <c r="C20" s="23">
        <v>56</v>
      </c>
      <c r="D20" s="22" t="s">
        <v>27</v>
      </c>
      <c r="E20" s="22" t="s">
        <v>31</v>
      </c>
      <c r="F20" s="24">
        <v>45213</v>
      </c>
      <c r="G20" s="24">
        <v>45649</v>
      </c>
      <c r="H20" s="23">
        <v>2500</v>
      </c>
      <c r="I20" s="23">
        <v>13</v>
      </c>
      <c r="J20" s="22" t="s">
        <v>67</v>
      </c>
      <c r="K20" s="22"/>
      <c r="L20" s="26">
        <f t="shared" si="0"/>
        <v>14.533333333333333</v>
      </c>
      <c r="M20" s="15">
        <f>Table13[[#This Row],[End_Date]]-Table13[[#This Row],[Start_Date]]</f>
        <v>436</v>
      </c>
    </row>
    <row r="21" spans="1:13" ht="18" customHeight="1" x14ac:dyDescent="0.3">
      <c r="A21" s="21" t="s">
        <v>68</v>
      </c>
      <c r="B21" s="22" t="s">
        <v>69</v>
      </c>
      <c r="C21" s="23">
        <v>27</v>
      </c>
      <c r="D21" s="22" t="s">
        <v>27</v>
      </c>
      <c r="E21" s="22" t="s">
        <v>13</v>
      </c>
      <c r="F21" s="24">
        <v>45354</v>
      </c>
      <c r="G21" s="24">
        <v>45664</v>
      </c>
      <c r="H21" s="23">
        <v>800</v>
      </c>
      <c r="I21" s="23">
        <v>26</v>
      </c>
      <c r="J21" s="22" t="s">
        <v>35</v>
      </c>
      <c r="K21" s="22"/>
      <c r="L21" s="26">
        <f t="shared" si="0"/>
        <v>10.333333333333334</v>
      </c>
      <c r="M21" s="15">
        <f>Table13[[#This Row],[End_Date]]-Table13[[#This Row],[Start_Date]]</f>
        <v>310</v>
      </c>
    </row>
    <row r="22" spans="1:13" ht="18" customHeight="1" x14ac:dyDescent="0.3">
      <c r="A22" s="21" t="s">
        <v>70</v>
      </c>
      <c r="B22" s="22" t="s">
        <v>71</v>
      </c>
      <c r="C22" s="23">
        <v>28</v>
      </c>
      <c r="D22" s="22" t="s">
        <v>12</v>
      </c>
      <c r="E22" s="22" t="s">
        <v>31</v>
      </c>
      <c r="F22" s="24">
        <v>45417</v>
      </c>
      <c r="G22" s="24">
        <v>45608</v>
      </c>
      <c r="H22" s="23">
        <v>2500</v>
      </c>
      <c r="I22" s="23">
        <v>21</v>
      </c>
      <c r="J22" s="22" t="s">
        <v>35</v>
      </c>
      <c r="K22" s="25" t="s">
        <v>72</v>
      </c>
      <c r="L22" s="26">
        <f t="shared" si="0"/>
        <v>6.3666666666666663</v>
      </c>
      <c r="M22" s="15">
        <f>Table13[[#This Row],[End_Date]]-Table13[[#This Row],[Start_Date]]</f>
        <v>191</v>
      </c>
    </row>
    <row r="23" spans="1:13" ht="18" customHeight="1" x14ac:dyDescent="0.3">
      <c r="A23" s="21" t="s">
        <v>73</v>
      </c>
      <c r="B23" s="22" t="s">
        <v>74</v>
      </c>
      <c r="C23" s="23">
        <v>57</v>
      </c>
      <c r="D23" s="22" t="s">
        <v>27</v>
      </c>
      <c r="E23" s="22" t="s">
        <v>41</v>
      </c>
      <c r="F23" s="24">
        <v>45146</v>
      </c>
      <c r="G23" s="24">
        <v>45674</v>
      </c>
      <c r="H23" s="23">
        <v>1800</v>
      </c>
      <c r="I23" s="23">
        <v>19</v>
      </c>
      <c r="J23" s="22" t="s">
        <v>35</v>
      </c>
      <c r="K23" s="22"/>
      <c r="L23" s="26">
        <f t="shared" si="0"/>
        <v>17.600000000000001</v>
      </c>
      <c r="M23" s="15">
        <f>Table13[[#This Row],[End_Date]]-Table13[[#This Row],[Start_Date]]</f>
        <v>528</v>
      </c>
    </row>
    <row r="24" spans="1:13" ht="18" customHeight="1" x14ac:dyDescent="0.3">
      <c r="A24" s="21" t="s">
        <v>75</v>
      </c>
      <c r="B24" s="22" t="s">
        <v>76</v>
      </c>
      <c r="C24" s="23">
        <v>26</v>
      </c>
      <c r="D24" s="22" t="s">
        <v>27</v>
      </c>
      <c r="E24" s="22" t="s">
        <v>41</v>
      </c>
      <c r="F24" s="24">
        <v>45320</v>
      </c>
      <c r="G24" s="24">
        <v>45616</v>
      </c>
      <c r="H24" s="23">
        <v>1800</v>
      </c>
      <c r="I24" s="23">
        <v>5</v>
      </c>
      <c r="J24" s="25" t="s">
        <v>14</v>
      </c>
      <c r="K24" s="22"/>
      <c r="L24" s="26">
        <f t="shared" si="0"/>
        <v>9.8666666666666671</v>
      </c>
      <c r="M24" s="15">
        <f>Table13[[#This Row],[End_Date]]-Table13[[#This Row],[Start_Date]]</f>
        <v>296</v>
      </c>
    </row>
    <row r="25" spans="1:13" ht="18" customHeight="1" x14ac:dyDescent="0.3">
      <c r="A25" s="21" t="s">
        <v>77</v>
      </c>
      <c r="B25" s="22" t="s">
        <v>78</v>
      </c>
      <c r="C25" s="23">
        <v>48</v>
      </c>
      <c r="D25" s="22" t="s">
        <v>12</v>
      </c>
      <c r="E25" s="22" t="s">
        <v>41</v>
      </c>
      <c r="F25" s="24">
        <v>45451</v>
      </c>
      <c r="G25" s="24">
        <v>45455</v>
      </c>
      <c r="H25" s="23">
        <v>1800</v>
      </c>
      <c r="I25" s="23">
        <v>18</v>
      </c>
      <c r="J25" s="22" t="s">
        <v>67</v>
      </c>
      <c r="K25" s="22"/>
      <c r="L25" s="26">
        <f t="shared" si="0"/>
        <v>0.13333333333333333</v>
      </c>
      <c r="M25" s="15">
        <f>Table13[[#This Row],[End_Date]]-Table13[[#This Row],[Start_Date]]</f>
        <v>4</v>
      </c>
    </row>
    <row r="26" spans="1:13" ht="18" customHeight="1" x14ac:dyDescent="0.3">
      <c r="A26" s="21" t="s">
        <v>79</v>
      </c>
      <c r="B26" s="22" t="s">
        <v>80</v>
      </c>
      <c r="C26" s="23">
        <v>25</v>
      </c>
      <c r="D26" s="22" t="s">
        <v>27</v>
      </c>
      <c r="E26" s="22" t="s">
        <v>22</v>
      </c>
      <c r="F26" s="24">
        <v>45439</v>
      </c>
      <c r="G26" s="24">
        <v>45730</v>
      </c>
      <c r="H26" s="23">
        <v>1200</v>
      </c>
      <c r="I26" s="23">
        <v>6</v>
      </c>
      <c r="J26" s="25" t="s">
        <v>14</v>
      </c>
      <c r="K26" s="22"/>
      <c r="L26" s="26">
        <f t="shared" si="0"/>
        <v>9.6999999999999993</v>
      </c>
      <c r="M26" s="15">
        <f>Table13[[#This Row],[End_Date]]-Table13[[#This Row],[Start_Date]]</f>
        <v>291</v>
      </c>
    </row>
    <row r="27" spans="1:13" ht="18" customHeight="1" x14ac:dyDescent="0.3">
      <c r="A27" s="21" t="s">
        <v>81</v>
      </c>
      <c r="B27" s="22" t="s">
        <v>82</v>
      </c>
      <c r="C27" s="23">
        <v>53</v>
      </c>
      <c r="D27" s="22" t="s">
        <v>12</v>
      </c>
      <c r="E27" s="22" t="s">
        <v>41</v>
      </c>
      <c r="F27" s="24">
        <v>45286</v>
      </c>
      <c r="G27" s="24">
        <v>45372</v>
      </c>
      <c r="H27" s="23">
        <v>1800</v>
      </c>
      <c r="I27" s="23">
        <v>17</v>
      </c>
      <c r="J27" s="22" t="s">
        <v>35</v>
      </c>
      <c r="K27" s="25" t="s">
        <v>83</v>
      </c>
      <c r="L27" s="26">
        <f t="shared" si="0"/>
        <v>2.8666666666666667</v>
      </c>
      <c r="M27" s="15">
        <f>Table13[[#This Row],[End_Date]]-Table13[[#This Row],[Start_Date]]</f>
        <v>86</v>
      </c>
    </row>
    <row r="28" spans="1:13" ht="18" customHeight="1" x14ac:dyDescent="0.3">
      <c r="A28" s="21" t="s">
        <v>84</v>
      </c>
      <c r="B28" s="22" t="s">
        <v>85</v>
      </c>
      <c r="C28" s="23">
        <v>42</v>
      </c>
      <c r="D28" s="22" t="s">
        <v>27</v>
      </c>
      <c r="E28" s="22" t="s">
        <v>22</v>
      </c>
      <c r="F28" s="24">
        <v>45702</v>
      </c>
      <c r="G28" s="24">
        <v>45727</v>
      </c>
      <c r="H28" s="23">
        <v>1200</v>
      </c>
      <c r="I28" s="23">
        <v>3</v>
      </c>
      <c r="J28" s="22" t="s">
        <v>67</v>
      </c>
      <c r="K28" s="22"/>
      <c r="L28" s="26">
        <f t="shared" si="0"/>
        <v>0.83333333333333337</v>
      </c>
      <c r="M28" s="15">
        <f>Table13[[#This Row],[End_Date]]-Table13[[#This Row],[Start_Date]]</f>
        <v>25</v>
      </c>
    </row>
    <row r="29" spans="1:13" ht="18" customHeight="1" x14ac:dyDescent="0.3">
      <c r="A29" s="21" t="s">
        <v>86</v>
      </c>
      <c r="B29" s="22" t="s">
        <v>87</v>
      </c>
      <c r="C29" s="23">
        <v>24</v>
      </c>
      <c r="D29" s="22" t="s">
        <v>12</v>
      </c>
      <c r="E29" s="22" t="s">
        <v>31</v>
      </c>
      <c r="F29" s="24">
        <v>45698</v>
      </c>
      <c r="G29" s="24">
        <v>45726</v>
      </c>
      <c r="H29" s="23">
        <v>2500</v>
      </c>
      <c r="I29" s="23">
        <v>28</v>
      </c>
      <c r="J29" s="22" t="s">
        <v>35</v>
      </c>
      <c r="K29" s="22"/>
      <c r="L29" s="26">
        <f t="shared" si="0"/>
        <v>0.93333333333333335</v>
      </c>
      <c r="M29" s="15">
        <f>Table13[[#This Row],[End_Date]]-Table13[[#This Row],[Start_Date]]</f>
        <v>28</v>
      </c>
    </row>
    <row r="30" spans="1:13" ht="18" customHeight="1" x14ac:dyDescent="0.3">
      <c r="A30" s="21" t="s">
        <v>88</v>
      </c>
      <c r="B30" s="22" t="s">
        <v>89</v>
      </c>
      <c r="C30" s="23">
        <v>53</v>
      </c>
      <c r="D30" s="22" t="s">
        <v>12</v>
      </c>
      <c r="E30" s="22" t="s">
        <v>22</v>
      </c>
      <c r="F30" s="24">
        <v>45614</v>
      </c>
      <c r="G30" s="24">
        <v>45645</v>
      </c>
      <c r="H30" s="23">
        <v>1200</v>
      </c>
      <c r="I30" s="23">
        <v>23</v>
      </c>
      <c r="J30" s="22" t="s">
        <v>18</v>
      </c>
      <c r="K30" s="22"/>
      <c r="L30" s="26">
        <f t="shared" si="0"/>
        <v>1.0333333333333334</v>
      </c>
      <c r="M30" s="15">
        <f>Table13[[#This Row],[End_Date]]-Table13[[#This Row],[Start_Date]]</f>
        <v>31</v>
      </c>
    </row>
    <row r="31" spans="1:13" ht="18" customHeight="1" x14ac:dyDescent="0.3">
      <c r="A31" s="21" t="s">
        <v>90</v>
      </c>
      <c r="B31" s="22" t="s">
        <v>91</v>
      </c>
      <c r="C31" s="23">
        <v>29</v>
      </c>
      <c r="D31" s="22" t="s">
        <v>27</v>
      </c>
      <c r="E31" s="22" t="s">
        <v>31</v>
      </c>
      <c r="F31" s="24">
        <v>45401</v>
      </c>
      <c r="G31" s="24">
        <v>45408</v>
      </c>
      <c r="H31" s="23">
        <v>2500</v>
      </c>
      <c r="I31" s="23">
        <v>8</v>
      </c>
      <c r="J31" s="25" t="s">
        <v>23</v>
      </c>
      <c r="K31" s="22"/>
      <c r="L31" s="26">
        <f t="shared" si="0"/>
        <v>0.23333333333333334</v>
      </c>
      <c r="M31" s="15">
        <f>Table13[[#This Row],[End_Date]]-Table13[[#This Row],[Start_Date]]</f>
        <v>7</v>
      </c>
    </row>
    <row r="32" spans="1:13" ht="18" customHeight="1" x14ac:dyDescent="0.3">
      <c r="A32" s="21" t="s">
        <v>92</v>
      </c>
      <c r="B32" s="22" t="s">
        <v>93</v>
      </c>
      <c r="C32" s="23">
        <v>31</v>
      </c>
      <c r="D32" s="22" t="s">
        <v>27</v>
      </c>
      <c r="E32" s="22" t="s">
        <v>31</v>
      </c>
      <c r="F32" s="24">
        <v>45667</v>
      </c>
      <c r="G32" s="24">
        <v>45745</v>
      </c>
      <c r="H32" s="23">
        <v>2500</v>
      </c>
      <c r="I32" s="23">
        <v>23</v>
      </c>
      <c r="J32" s="22" t="s">
        <v>42</v>
      </c>
      <c r="K32" s="25" t="s">
        <v>94</v>
      </c>
      <c r="L32" s="26">
        <f t="shared" si="0"/>
        <v>2.6</v>
      </c>
      <c r="M32" s="15">
        <f>Table13[[#This Row],[End_Date]]-Table13[[#This Row],[Start_Date]]</f>
        <v>78</v>
      </c>
    </row>
    <row r="33" spans="1:13" ht="18" customHeight="1" x14ac:dyDescent="0.3">
      <c r="A33" s="21" t="s">
        <v>95</v>
      </c>
      <c r="B33" s="22" t="s">
        <v>96</v>
      </c>
      <c r="C33" s="23">
        <v>52</v>
      </c>
      <c r="D33" s="22" t="s">
        <v>27</v>
      </c>
      <c r="E33" s="22" t="s">
        <v>13</v>
      </c>
      <c r="F33" s="24">
        <v>45088</v>
      </c>
      <c r="G33" s="24">
        <v>45656</v>
      </c>
      <c r="H33" s="23">
        <v>800</v>
      </c>
      <c r="I33" s="23">
        <v>9</v>
      </c>
      <c r="J33" s="22" t="s">
        <v>67</v>
      </c>
      <c r="K33" s="25" t="s">
        <v>97</v>
      </c>
      <c r="L33" s="26">
        <f t="shared" si="0"/>
        <v>18.933333333333334</v>
      </c>
      <c r="M33" s="15">
        <f>Table13[[#This Row],[End_Date]]-Table13[[#This Row],[Start_Date]]</f>
        <v>568</v>
      </c>
    </row>
    <row r="34" spans="1:13" ht="18" customHeight="1" x14ac:dyDescent="0.3">
      <c r="A34" s="21" t="s">
        <v>98</v>
      </c>
      <c r="B34" s="22" t="s">
        <v>99</v>
      </c>
      <c r="C34" s="23">
        <v>20</v>
      </c>
      <c r="D34" s="22" t="s">
        <v>12</v>
      </c>
      <c r="E34" s="22" t="s">
        <v>22</v>
      </c>
      <c r="F34" s="24">
        <v>45391</v>
      </c>
      <c r="G34" s="24">
        <v>45604</v>
      </c>
      <c r="H34" s="23">
        <v>1200</v>
      </c>
      <c r="I34" s="23">
        <v>2</v>
      </c>
      <c r="J34" s="22" t="s">
        <v>35</v>
      </c>
      <c r="K34" s="22"/>
      <c r="L34" s="26">
        <f t="shared" si="0"/>
        <v>7.1</v>
      </c>
      <c r="M34" s="15">
        <f>Table13[[#This Row],[End_Date]]-Table13[[#This Row],[Start_Date]]</f>
        <v>213</v>
      </c>
    </row>
    <row r="35" spans="1:13" ht="18" customHeight="1" x14ac:dyDescent="0.3">
      <c r="A35" s="21" t="s">
        <v>100</v>
      </c>
      <c r="B35" s="22" t="s">
        <v>101</v>
      </c>
      <c r="C35" s="23">
        <v>22</v>
      </c>
      <c r="D35" s="22" t="s">
        <v>12</v>
      </c>
      <c r="E35" s="22" t="s">
        <v>13</v>
      </c>
      <c r="F35" s="24">
        <v>45699</v>
      </c>
      <c r="G35" s="24">
        <v>45740</v>
      </c>
      <c r="H35" s="23">
        <v>800</v>
      </c>
      <c r="I35" s="23">
        <v>30</v>
      </c>
      <c r="J35" s="22" t="s">
        <v>35</v>
      </c>
      <c r="K35" s="22"/>
      <c r="L35" s="26">
        <f t="shared" si="0"/>
        <v>1.3666666666666667</v>
      </c>
      <c r="M35" s="15">
        <f>Table13[[#This Row],[End_Date]]-Table13[[#This Row],[Start_Date]]</f>
        <v>41</v>
      </c>
    </row>
    <row r="36" spans="1:13" ht="18" customHeight="1" x14ac:dyDescent="0.3">
      <c r="A36" s="21" t="s">
        <v>102</v>
      </c>
      <c r="B36" s="22" t="s">
        <v>103</v>
      </c>
      <c r="C36" s="23">
        <v>23</v>
      </c>
      <c r="D36" s="22" t="s">
        <v>12</v>
      </c>
      <c r="E36" s="22" t="s">
        <v>41</v>
      </c>
      <c r="F36" s="24">
        <v>45588</v>
      </c>
      <c r="G36" s="24">
        <v>45721</v>
      </c>
      <c r="H36" s="23">
        <v>1800</v>
      </c>
      <c r="I36" s="23">
        <v>23</v>
      </c>
      <c r="J36" s="22" t="s">
        <v>18</v>
      </c>
      <c r="K36" s="25" t="s">
        <v>104</v>
      </c>
      <c r="L36" s="26">
        <f t="shared" si="0"/>
        <v>4.4333333333333336</v>
      </c>
      <c r="M36" s="15">
        <f>Table13[[#This Row],[End_Date]]-Table13[[#This Row],[Start_Date]]</f>
        <v>133</v>
      </c>
    </row>
    <row r="37" spans="1:13" ht="18" customHeight="1" x14ac:dyDescent="0.3">
      <c r="A37" s="27" t="s">
        <v>105</v>
      </c>
      <c r="B37" s="28" t="s">
        <v>106</v>
      </c>
      <c r="C37" s="29">
        <v>27</v>
      </c>
      <c r="D37" s="28" t="s">
        <v>27</v>
      </c>
      <c r="E37" s="28" t="s">
        <v>22</v>
      </c>
      <c r="F37" s="30">
        <v>45312</v>
      </c>
      <c r="G37" s="30">
        <v>45652</v>
      </c>
      <c r="H37" s="29">
        <v>1200</v>
      </c>
      <c r="I37" s="29">
        <v>27</v>
      </c>
      <c r="J37" s="28" t="s">
        <v>18</v>
      </c>
      <c r="K37" s="28"/>
      <c r="L37" s="31">
        <f t="shared" si="0"/>
        <v>11.333333333333334</v>
      </c>
      <c r="M37" s="15">
        <f>Table13[[#This Row],[End_Date]]-Table13[[#This Row],[Start_Date]]</f>
        <v>340</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285F2-8ADA-4626-99B5-8A2E6F5008D4}">
  <dimension ref="A2:O45"/>
  <sheetViews>
    <sheetView topLeftCell="A3" workbookViewId="0">
      <selection activeCell="E2" activeCellId="2" sqref="E37 C2:C37 E2:E37"/>
    </sheetView>
  </sheetViews>
  <sheetFormatPr defaultRowHeight="14.4" x14ac:dyDescent="0.3"/>
  <cols>
    <col min="1" max="1" width="8.5546875" bestFit="1" customWidth="1"/>
    <col min="2" max="2" width="14.88671875" bestFit="1" customWidth="1"/>
    <col min="3" max="3" width="4.21875" bestFit="1" customWidth="1"/>
    <col min="4" max="4" width="7.109375" bestFit="1" customWidth="1"/>
    <col min="5" max="5" width="16.88671875" bestFit="1" customWidth="1"/>
    <col min="6" max="7" width="10.33203125" bestFit="1" customWidth="1"/>
    <col min="8" max="8" width="12.109375" bestFit="1" customWidth="1"/>
    <col min="9" max="9" width="10.77734375" bestFit="1" customWidth="1"/>
    <col min="10" max="10" width="9.77734375" bestFit="1" customWidth="1"/>
    <col min="11" max="11" width="17.5546875" bestFit="1" customWidth="1"/>
    <col min="12" max="12" width="28.33203125" bestFit="1" customWidth="1"/>
    <col min="13" max="13" width="13.6640625" bestFit="1" customWidth="1"/>
    <col min="14" max="14" width="20" customWidth="1"/>
  </cols>
  <sheetData>
    <row r="2" spans="1:15" ht="26.4" customHeight="1" x14ac:dyDescent="0.3">
      <c r="A2" s="17" t="s">
        <v>107</v>
      </c>
      <c r="B2" s="18" t="s">
        <v>0</v>
      </c>
      <c r="C2" s="19" t="s">
        <v>1</v>
      </c>
      <c r="D2" s="19" t="s">
        <v>2</v>
      </c>
      <c r="E2" s="19" t="s">
        <v>3</v>
      </c>
      <c r="F2" s="19" t="s">
        <v>4</v>
      </c>
      <c r="G2" s="19" t="s">
        <v>5</v>
      </c>
      <c r="H2" s="19" t="s">
        <v>6</v>
      </c>
      <c r="I2" s="19" t="s">
        <v>7</v>
      </c>
      <c r="J2" s="19" t="s">
        <v>8</v>
      </c>
      <c r="K2" s="18" t="s">
        <v>9</v>
      </c>
      <c r="L2" s="20" t="s">
        <v>109</v>
      </c>
      <c r="M2" s="46" t="s">
        <v>117</v>
      </c>
      <c r="N2" s="45" t="s">
        <v>108</v>
      </c>
      <c r="O2" s="33" t="s">
        <v>110</v>
      </c>
    </row>
    <row r="3" spans="1:15" ht="15.6" customHeight="1" x14ac:dyDescent="0.3">
      <c r="A3" s="21" t="s">
        <v>10</v>
      </c>
      <c r="B3" s="22" t="s">
        <v>11</v>
      </c>
      <c r="C3" s="23">
        <v>59</v>
      </c>
      <c r="D3" s="22" t="s">
        <v>12</v>
      </c>
      <c r="E3" s="22" t="s">
        <v>13</v>
      </c>
      <c r="F3" s="24">
        <v>45235</v>
      </c>
      <c r="G3" s="24">
        <v>45425</v>
      </c>
      <c r="H3" s="23">
        <v>800</v>
      </c>
      <c r="I3" s="23">
        <v>25</v>
      </c>
      <c r="J3" s="22" t="s">
        <v>14</v>
      </c>
      <c r="K3" s="25" t="s">
        <v>15</v>
      </c>
      <c r="L3" s="26">
        <f t="shared" ref="L3:L37" si="0">N3/30</f>
        <v>6.333333333333333</v>
      </c>
      <c r="M3" s="40">
        <f>Table135[[#This Row],[Monthly_Fee]]*Table135[[#This Row],[Membership_Duration_months ]]</f>
        <v>5066.6666666666661</v>
      </c>
      <c r="N3" s="15">
        <f>Table13[[#This Row],[End_Date]]-Table13[[#This Row],[Start_Date]]</f>
        <v>190</v>
      </c>
      <c r="O3" s="36" t="s">
        <v>111</v>
      </c>
    </row>
    <row r="4" spans="1:15" ht="15.6" customHeight="1" x14ac:dyDescent="0.3">
      <c r="A4" s="21" t="s">
        <v>16</v>
      </c>
      <c r="B4" s="22" t="s">
        <v>17</v>
      </c>
      <c r="C4" s="23">
        <v>27</v>
      </c>
      <c r="D4" s="22" t="s">
        <v>12</v>
      </c>
      <c r="E4" s="22" t="s">
        <v>13</v>
      </c>
      <c r="F4" s="24">
        <v>45714</v>
      </c>
      <c r="G4" s="24">
        <v>45740</v>
      </c>
      <c r="H4" s="23">
        <v>800</v>
      </c>
      <c r="I4" s="23">
        <v>20</v>
      </c>
      <c r="J4" s="22" t="s">
        <v>18</v>
      </c>
      <c r="K4" s="25" t="s">
        <v>19</v>
      </c>
      <c r="L4" s="26">
        <f t="shared" si="0"/>
        <v>0.8666666666666667</v>
      </c>
      <c r="M4" s="40">
        <f>Table135[[#This Row],[Monthly_Fee]]*Table135[[#This Row],[Membership_Duration_months ]]</f>
        <v>693.33333333333337</v>
      </c>
      <c r="N4" s="15">
        <f>Table13[[#This Row],[End_Date]]-Table13[[#This Row],[Start_Date]]</f>
        <v>26</v>
      </c>
      <c r="O4" s="39" t="s">
        <v>111</v>
      </c>
    </row>
    <row r="5" spans="1:15" ht="15.6" customHeight="1" x14ac:dyDescent="0.3">
      <c r="A5" s="21" t="s">
        <v>20</v>
      </c>
      <c r="B5" s="22" t="s">
        <v>21</v>
      </c>
      <c r="C5" s="23">
        <v>24</v>
      </c>
      <c r="D5" s="22" t="s">
        <v>12</v>
      </c>
      <c r="E5" s="22" t="s">
        <v>22</v>
      </c>
      <c r="F5" s="24">
        <v>45191</v>
      </c>
      <c r="G5" s="24">
        <v>45371</v>
      </c>
      <c r="H5" s="23">
        <v>1200</v>
      </c>
      <c r="I5" s="23">
        <v>18</v>
      </c>
      <c r="J5" s="22" t="s">
        <v>23</v>
      </c>
      <c r="K5" s="25" t="s">
        <v>24</v>
      </c>
      <c r="L5" s="26">
        <f t="shared" si="0"/>
        <v>6</v>
      </c>
      <c r="M5" s="40">
        <f>Table135[[#This Row],[Monthly_Fee]]*Table135[[#This Row],[Membership_Duration_months ]]</f>
        <v>7200</v>
      </c>
      <c r="N5" s="15">
        <f>Table13[[#This Row],[End_Date]]-Table13[[#This Row],[Start_Date]]</f>
        <v>180</v>
      </c>
      <c r="O5" s="36" t="s">
        <v>111</v>
      </c>
    </row>
    <row r="6" spans="1:15" ht="15.6" customHeight="1" x14ac:dyDescent="0.3">
      <c r="A6" s="21" t="s">
        <v>25</v>
      </c>
      <c r="B6" s="22" t="s">
        <v>26</v>
      </c>
      <c r="C6" s="23">
        <v>31</v>
      </c>
      <c r="D6" s="22" t="s">
        <v>27</v>
      </c>
      <c r="E6" s="22" t="s">
        <v>22</v>
      </c>
      <c r="F6" s="24">
        <v>45479</v>
      </c>
      <c r="G6" s="24">
        <v>45587</v>
      </c>
      <c r="H6" s="23">
        <v>1200</v>
      </c>
      <c r="I6" s="23">
        <v>16</v>
      </c>
      <c r="J6" s="22" t="s">
        <v>23</v>
      </c>
      <c r="K6" s="25" t="s">
        <v>28</v>
      </c>
      <c r="L6" s="26">
        <f t="shared" si="0"/>
        <v>3.6</v>
      </c>
      <c r="M6" s="40">
        <f>Table135[[#This Row],[Monthly_Fee]]*Table135[[#This Row],[Membership_Duration_months ]]</f>
        <v>4320</v>
      </c>
      <c r="N6" s="15">
        <f>Table13[[#This Row],[End_Date]]-Table13[[#This Row],[Start_Date]]</f>
        <v>108</v>
      </c>
      <c r="O6" s="39" t="s">
        <v>111</v>
      </c>
    </row>
    <row r="7" spans="1:15" ht="15.6" customHeight="1" x14ac:dyDescent="0.3">
      <c r="A7" s="21" t="s">
        <v>29</v>
      </c>
      <c r="B7" s="22" t="s">
        <v>30</v>
      </c>
      <c r="C7" s="23">
        <v>19</v>
      </c>
      <c r="D7" s="22" t="s">
        <v>12</v>
      </c>
      <c r="E7" s="22" t="s">
        <v>31</v>
      </c>
      <c r="F7" s="24">
        <v>45286</v>
      </c>
      <c r="G7" s="24">
        <v>45501</v>
      </c>
      <c r="H7" s="23">
        <v>2500</v>
      </c>
      <c r="I7" s="23">
        <v>12</v>
      </c>
      <c r="J7" s="22" t="s">
        <v>14</v>
      </c>
      <c r="K7" s="25" t="s">
        <v>32</v>
      </c>
      <c r="L7" s="26">
        <f t="shared" si="0"/>
        <v>7.166666666666667</v>
      </c>
      <c r="M7" s="40">
        <f>Table135[[#This Row],[Monthly_Fee]]*Table135[[#This Row],[Membership_Duration_months ]]</f>
        <v>17916.666666666668</v>
      </c>
      <c r="N7" s="15">
        <f>Table13[[#This Row],[End_Date]]-Table13[[#This Row],[Start_Date]]</f>
        <v>215</v>
      </c>
      <c r="O7" s="36" t="s">
        <v>111</v>
      </c>
    </row>
    <row r="8" spans="1:15" ht="15.6" customHeight="1" x14ac:dyDescent="0.3">
      <c r="A8" s="21" t="s">
        <v>33</v>
      </c>
      <c r="B8" s="22" t="s">
        <v>34</v>
      </c>
      <c r="C8" s="23">
        <v>40</v>
      </c>
      <c r="D8" s="22" t="s">
        <v>12</v>
      </c>
      <c r="E8" s="22" t="s">
        <v>13</v>
      </c>
      <c r="F8" s="24">
        <v>45317</v>
      </c>
      <c r="G8" s="24">
        <v>45392</v>
      </c>
      <c r="H8" s="23">
        <v>800</v>
      </c>
      <c r="I8" s="23">
        <v>14</v>
      </c>
      <c r="J8" s="22" t="s">
        <v>35</v>
      </c>
      <c r="K8" s="25" t="s">
        <v>36</v>
      </c>
      <c r="L8" s="26">
        <f t="shared" si="0"/>
        <v>2.5</v>
      </c>
      <c r="M8" s="40">
        <f>Table135[[#This Row],[Monthly_Fee]]*Table135[[#This Row],[Membership_Duration_months ]]</f>
        <v>2000</v>
      </c>
      <c r="N8" s="15">
        <f>Table13[[#This Row],[End_Date]]-Table13[[#This Row],[Start_Date]]</f>
        <v>75</v>
      </c>
      <c r="O8" s="39" t="s">
        <v>111</v>
      </c>
    </row>
    <row r="9" spans="1:15" ht="15.6" customHeight="1" x14ac:dyDescent="0.3">
      <c r="A9" s="21" t="s">
        <v>37</v>
      </c>
      <c r="B9" s="22" t="s">
        <v>38</v>
      </c>
      <c r="C9" s="23">
        <v>41</v>
      </c>
      <c r="D9" s="22" t="s">
        <v>27</v>
      </c>
      <c r="E9" s="22" t="s">
        <v>13</v>
      </c>
      <c r="F9" s="24">
        <v>45588</v>
      </c>
      <c r="G9" s="24">
        <v>45677</v>
      </c>
      <c r="H9" s="23">
        <v>800</v>
      </c>
      <c r="I9" s="23">
        <v>25</v>
      </c>
      <c r="J9" s="22" t="s">
        <v>18</v>
      </c>
      <c r="K9" s="22"/>
      <c r="L9" s="26">
        <f t="shared" si="0"/>
        <v>2.9666666666666668</v>
      </c>
      <c r="M9" s="40">
        <f>Table135[[#This Row],[Monthly_Fee]]*Table135[[#This Row],[Membership_Duration_months ]]</f>
        <v>2373.3333333333335</v>
      </c>
      <c r="N9" s="15">
        <f>Table13[[#This Row],[End_Date]]-Table13[[#This Row],[Start_Date]]</f>
        <v>89</v>
      </c>
      <c r="O9" s="34" t="s">
        <v>112</v>
      </c>
    </row>
    <row r="10" spans="1:15" ht="15.6" customHeight="1" x14ac:dyDescent="0.3">
      <c r="A10" s="21" t="s">
        <v>39</v>
      </c>
      <c r="B10" s="22" t="s">
        <v>40</v>
      </c>
      <c r="C10" s="23">
        <v>43</v>
      </c>
      <c r="D10" s="22" t="s">
        <v>12</v>
      </c>
      <c r="E10" s="22" t="s">
        <v>41</v>
      </c>
      <c r="F10" s="24">
        <v>45450</v>
      </c>
      <c r="G10" s="24">
        <v>45563</v>
      </c>
      <c r="H10" s="23">
        <v>1800</v>
      </c>
      <c r="I10" s="23">
        <v>28</v>
      </c>
      <c r="J10" s="22" t="s">
        <v>42</v>
      </c>
      <c r="K10" s="22"/>
      <c r="L10" s="26">
        <f t="shared" si="0"/>
        <v>3.7666666666666666</v>
      </c>
      <c r="M10" s="40">
        <f>Table135[[#This Row],[Monthly_Fee]]*Table135[[#This Row],[Membership_Duration_months ]]</f>
        <v>6780</v>
      </c>
      <c r="N10" s="15">
        <f>Table13[[#This Row],[End_Date]]-Table13[[#This Row],[Start_Date]]</f>
        <v>113</v>
      </c>
      <c r="O10" s="37" t="s">
        <v>112</v>
      </c>
    </row>
    <row r="11" spans="1:15" ht="15.6" customHeight="1" x14ac:dyDescent="0.3">
      <c r="A11" s="21" t="s">
        <v>43</v>
      </c>
      <c r="B11" s="22" t="s">
        <v>44</v>
      </c>
      <c r="C11" s="23">
        <v>42</v>
      </c>
      <c r="D11" s="22" t="s">
        <v>12</v>
      </c>
      <c r="E11" s="22" t="s">
        <v>13</v>
      </c>
      <c r="F11" s="24">
        <v>45569</v>
      </c>
      <c r="G11" s="24">
        <v>45582</v>
      </c>
      <c r="H11" s="23">
        <v>800</v>
      </c>
      <c r="I11" s="23">
        <v>3</v>
      </c>
      <c r="J11" s="22" t="s">
        <v>42</v>
      </c>
      <c r="K11" s="25" t="s">
        <v>45</v>
      </c>
      <c r="L11" s="26">
        <f t="shared" si="0"/>
        <v>0.43333333333333335</v>
      </c>
      <c r="M11" s="40">
        <f>Table135[[#This Row],[Monthly_Fee]]*Table135[[#This Row],[Membership_Duration_months ]]</f>
        <v>346.66666666666669</v>
      </c>
      <c r="N11" s="15">
        <f>Table13[[#This Row],[End_Date]]-Table13[[#This Row],[Start_Date]]</f>
        <v>13</v>
      </c>
      <c r="O11" s="36" t="s">
        <v>111</v>
      </c>
    </row>
    <row r="12" spans="1:15" ht="15.6" customHeight="1" x14ac:dyDescent="0.3">
      <c r="A12" s="21" t="s">
        <v>46</v>
      </c>
      <c r="B12" s="22" t="s">
        <v>47</v>
      </c>
      <c r="C12" s="23">
        <v>37</v>
      </c>
      <c r="D12" s="22" t="s">
        <v>12</v>
      </c>
      <c r="E12" s="22" t="s">
        <v>22</v>
      </c>
      <c r="F12" s="24">
        <v>45202</v>
      </c>
      <c r="G12" s="24">
        <v>45280</v>
      </c>
      <c r="H12" s="23">
        <v>1200</v>
      </c>
      <c r="I12" s="23">
        <v>29</v>
      </c>
      <c r="J12" s="22" t="s">
        <v>35</v>
      </c>
      <c r="K12" s="25" t="s">
        <v>48</v>
      </c>
      <c r="L12" s="26">
        <f t="shared" si="0"/>
        <v>2.6</v>
      </c>
      <c r="M12" s="40">
        <f>Table135[[#This Row],[Monthly_Fee]]*Table135[[#This Row],[Membership_Duration_months ]]</f>
        <v>3120</v>
      </c>
      <c r="N12" s="15">
        <f>Table13[[#This Row],[End_Date]]-Table13[[#This Row],[Start_Date]]</f>
        <v>78</v>
      </c>
      <c r="O12" s="39" t="s">
        <v>111</v>
      </c>
    </row>
    <row r="13" spans="1:15" ht="15.6" customHeight="1" x14ac:dyDescent="0.3">
      <c r="A13" s="21" t="s">
        <v>49</v>
      </c>
      <c r="B13" s="22" t="s">
        <v>50</v>
      </c>
      <c r="C13" s="23">
        <v>48</v>
      </c>
      <c r="D13" s="22" t="s">
        <v>27</v>
      </c>
      <c r="E13" s="22" t="s">
        <v>22</v>
      </c>
      <c r="F13" s="24">
        <v>45297</v>
      </c>
      <c r="G13" s="24">
        <v>45459</v>
      </c>
      <c r="H13" s="23">
        <v>1200</v>
      </c>
      <c r="I13" s="23">
        <v>13</v>
      </c>
      <c r="J13" s="22" t="s">
        <v>14</v>
      </c>
      <c r="K13" s="25" t="s">
        <v>51</v>
      </c>
      <c r="L13" s="26">
        <f t="shared" si="0"/>
        <v>5.4</v>
      </c>
      <c r="M13" s="40">
        <f>Table135[[#This Row],[Monthly_Fee]]*Table135[[#This Row],[Membership_Duration_months ]]</f>
        <v>6480</v>
      </c>
      <c r="N13" s="15">
        <f>Table13[[#This Row],[End_Date]]-Table13[[#This Row],[Start_Date]]</f>
        <v>162</v>
      </c>
      <c r="O13" s="36" t="s">
        <v>111</v>
      </c>
    </row>
    <row r="14" spans="1:15" ht="15.6" customHeight="1" x14ac:dyDescent="0.3">
      <c r="A14" s="21" t="s">
        <v>52</v>
      </c>
      <c r="B14" s="22" t="s">
        <v>53</v>
      </c>
      <c r="C14" s="23">
        <v>36</v>
      </c>
      <c r="D14" s="22" t="s">
        <v>12</v>
      </c>
      <c r="E14" s="22" t="s">
        <v>22</v>
      </c>
      <c r="F14" s="24">
        <v>45154</v>
      </c>
      <c r="G14" s="24">
        <v>45568</v>
      </c>
      <c r="H14" s="23">
        <v>1200</v>
      </c>
      <c r="I14" s="23">
        <v>19</v>
      </c>
      <c r="J14" s="22" t="s">
        <v>42</v>
      </c>
      <c r="K14" s="25" t="s">
        <v>54</v>
      </c>
      <c r="L14" s="26">
        <f t="shared" si="0"/>
        <v>13.8</v>
      </c>
      <c r="M14" s="40">
        <f>Table135[[#This Row],[Monthly_Fee]]*Table135[[#This Row],[Membership_Duration_months ]]</f>
        <v>16560</v>
      </c>
      <c r="N14" s="15">
        <f>Table13[[#This Row],[End_Date]]-Table13[[#This Row],[Start_Date]]</f>
        <v>414</v>
      </c>
      <c r="O14" s="39" t="s">
        <v>111</v>
      </c>
    </row>
    <row r="15" spans="1:15" ht="15.6" customHeight="1" x14ac:dyDescent="0.3">
      <c r="A15" s="21" t="s">
        <v>55</v>
      </c>
      <c r="B15" s="22" t="s">
        <v>56</v>
      </c>
      <c r="C15" s="23">
        <v>48</v>
      </c>
      <c r="D15" s="22" t="s">
        <v>27</v>
      </c>
      <c r="E15" s="22" t="s">
        <v>41</v>
      </c>
      <c r="F15" s="24">
        <v>45556</v>
      </c>
      <c r="G15" s="24">
        <v>45641</v>
      </c>
      <c r="H15" s="23">
        <v>1800</v>
      </c>
      <c r="I15" s="23">
        <v>22</v>
      </c>
      <c r="J15" s="22" t="s">
        <v>42</v>
      </c>
      <c r="K15" s="22"/>
      <c r="L15" s="26">
        <f t="shared" si="0"/>
        <v>2.8333333333333335</v>
      </c>
      <c r="M15" s="40">
        <f>Table135[[#This Row],[Monthly_Fee]]*Table135[[#This Row],[Membership_Duration_months ]]</f>
        <v>5100</v>
      </c>
      <c r="N15" s="15">
        <f>Table13[[#This Row],[End_Date]]-Table13[[#This Row],[Start_Date]]</f>
        <v>85</v>
      </c>
      <c r="O15" s="34" t="s">
        <v>112</v>
      </c>
    </row>
    <row r="16" spans="1:15" ht="15.6" customHeight="1" x14ac:dyDescent="0.3">
      <c r="A16" s="21" t="s">
        <v>57</v>
      </c>
      <c r="B16" s="22" t="s">
        <v>58</v>
      </c>
      <c r="C16" s="23">
        <v>39</v>
      </c>
      <c r="D16" s="22" t="s">
        <v>12</v>
      </c>
      <c r="E16" s="22" t="s">
        <v>22</v>
      </c>
      <c r="F16" s="24">
        <v>45065</v>
      </c>
      <c r="G16" s="24">
        <v>45242</v>
      </c>
      <c r="H16" s="23">
        <v>1200</v>
      </c>
      <c r="I16" s="23">
        <v>28</v>
      </c>
      <c r="J16" s="22" t="s">
        <v>35</v>
      </c>
      <c r="K16" s="22"/>
      <c r="L16" s="26">
        <f t="shared" si="0"/>
        <v>5.9</v>
      </c>
      <c r="M16" s="40">
        <f>Table135[[#This Row],[Monthly_Fee]]*Table135[[#This Row],[Membership_Duration_months ]]</f>
        <v>7080</v>
      </c>
      <c r="N16" s="15">
        <f>Table13[[#This Row],[End_Date]]-Table13[[#This Row],[Start_Date]]</f>
        <v>177</v>
      </c>
      <c r="O16" s="37" t="s">
        <v>112</v>
      </c>
    </row>
    <row r="17" spans="1:15" ht="15.6" customHeight="1" x14ac:dyDescent="0.3">
      <c r="A17" s="21" t="s">
        <v>59</v>
      </c>
      <c r="B17" s="22" t="s">
        <v>60</v>
      </c>
      <c r="C17" s="23">
        <v>44</v>
      </c>
      <c r="D17" s="22" t="s">
        <v>27</v>
      </c>
      <c r="E17" s="22" t="s">
        <v>13</v>
      </c>
      <c r="F17" s="24">
        <v>45333</v>
      </c>
      <c r="G17" s="24">
        <v>45540</v>
      </c>
      <c r="H17" s="23">
        <v>800</v>
      </c>
      <c r="I17" s="23">
        <v>8</v>
      </c>
      <c r="J17" s="25" t="s">
        <v>23</v>
      </c>
      <c r="K17" s="22"/>
      <c r="L17" s="26">
        <f t="shared" si="0"/>
        <v>6.9</v>
      </c>
      <c r="M17" s="40">
        <f>Table135[[#This Row],[Monthly_Fee]]*Table135[[#This Row],[Membership_Duration_months ]]</f>
        <v>5520</v>
      </c>
      <c r="N17" s="15">
        <f>Table13[[#This Row],[End_Date]]-Table13[[#This Row],[Start_Date]]</f>
        <v>207</v>
      </c>
      <c r="O17" s="34" t="s">
        <v>112</v>
      </c>
    </row>
    <row r="18" spans="1:15" ht="15.6" customHeight="1" x14ac:dyDescent="0.3">
      <c r="A18" s="21" t="s">
        <v>61</v>
      </c>
      <c r="B18" s="22" t="s">
        <v>62</v>
      </c>
      <c r="C18" s="23">
        <v>39</v>
      </c>
      <c r="D18" s="22" t="s">
        <v>12</v>
      </c>
      <c r="E18" s="22" t="s">
        <v>31</v>
      </c>
      <c r="F18" s="24">
        <v>45702</v>
      </c>
      <c r="G18" s="24">
        <v>45732</v>
      </c>
      <c r="H18" s="23">
        <v>2500</v>
      </c>
      <c r="I18" s="23">
        <v>14</v>
      </c>
      <c r="J18" s="22" t="s">
        <v>42</v>
      </c>
      <c r="K18" s="22"/>
      <c r="L18" s="26">
        <f t="shared" si="0"/>
        <v>1</v>
      </c>
      <c r="M18" s="40">
        <f>Table135[[#This Row],[Monthly_Fee]]*Table135[[#This Row],[Membership_Duration_months ]]</f>
        <v>2500</v>
      </c>
      <c r="N18" s="15">
        <f>Table13[[#This Row],[End_Date]]-Table13[[#This Row],[Start_Date]]</f>
        <v>30</v>
      </c>
      <c r="O18" s="37" t="s">
        <v>112</v>
      </c>
    </row>
    <row r="19" spans="1:15" ht="15.6" customHeight="1" x14ac:dyDescent="0.3">
      <c r="A19" s="21" t="s">
        <v>63</v>
      </c>
      <c r="B19" s="22" t="s">
        <v>64</v>
      </c>
      <c r="C19" s="23">
        <v>35</v>
      </c>
      <c r="D19" s="22" t="s">
        <v>12</v>
      </c>
      <c r="E19" s="22" t="s">
        <v>22</v>
      </c>
      <c r="F19" s="24">
        <v>45329</v>
      </c>
      <c r="G19" s="24">
        <v>45685</v>
      </c>
      <c r="H19" s="23">
        <v>1200</v>
      </c>
      <c r="I19" s="23">
        <v>25</v>
      </c>
      <c r="J19" s="25" t="s">
        <v>23</v>
      </c>
      <c r="K19" s="22"/>
      <c r="L19" s="26">
        <f t="shared" si="0"/>
        <v>11.866666666666667</v>
      </c>
      <c r="M19" s="40">
        <f>Table135[[#This Row],[Monthly_Fee]]*Table135[[#This Row],[Membership_Duration_months ]]</f>
        <v>14240</v>
      </c>
      <c r="N19" s="15">
        <f>Table13[[#This Row],[End_Date]]-Table13[[#This Row],[Start_Date]]</f>
        <v>356</v>
      </c>
      <c r="O19" s="34" t="s">
        <v>112</v>
      </c>
    </row>
    <row r="20" spans="1:15" ht="15.6" customHeight="1" x14ac:dyDescent="0.3">
      <c r="A20" s="21" t="s">
        <v>65</v>
      </c>
      <c r="B20" s="22" t="s">
        <v>66</v>
      </c>
      <c r="C20" s="23">
        <v>56</v>
      </c>
      <c r="D20" s="22" t="s">
        <v>27</v>
      </c>
      <c r="E20" s="22" t="s">
        <v>31</v>
      </c>
      <c r="F20" s="24">
        <v>45213</v>
      </c>
      <c r="G20" s="24">
        <v>45649</v>
      </c>
      <c r="H20" s="23">
        <v>2500</v>
      </c>
      <c r="I20" s="23">
        <v>13</v>
      </c>
      <c r="J20" s="22" t="s">
        <v>67</v>
      </c>
      <c r="K20" s="22"/>
      <c r="L20" s="26">
        <f t="shared" si="0"/>
        <v>14.533333333333333</v>
      </c>
      <c r="M20" s="40">
        <f>Table135[[#This Row],[Monthly_Fee]]*Table135[[#This Row],[Membership_Duration_months ]]</f>
        <v>36333.333333333336</v>
      </c>
      <c r="N20" s="15">
        <f>Table13[[#This Row],[End_Date]]-Table13[[#This Row],[Start_Date]]</f>
        <v>436</v>
      </c>
      <c r="O20" s="37" t="s">
        <v>112</v>
      </c>
    </row>
    <row r="21" spans="1:15" ht="15.6" customHeight="1" x14ac:dyDescent="0.3">
      <c r="A21" s="21" t="s">
        <v>68</v>
      </c>
      <c r="B21" s="22" t="s">
        <v>69</v>
      </c>
      <c r="C21" s="23">
        <v>27</v>
      </c>
      <c r="D21" s="22" t="s">
        <v>27</v>
      </c>
      <c r="E21" s="22" t="s">
        <v>13</v>
      </c>
      <c r="F21" s="24">
        <v>45354</v>
      </c>
      <c r="G21" s="24">
        <v>45664</v>
      </c>
      <c r="H21" s="23">
        <v>800</v>
      </c>
      <c r="I21" s="23">
        <v>26</v>
      </c>
      <c r="J21" s="22" t="s">
        <v>35</v>
      </c>
      <c r="K21" s="22"/>
      <c r="L21" s="26">
        <f t="shared" si="0"/>
        <v>10.333333333333334</v>
      </c>
      <c r="M21" s="40">
        <f>Table135[[#This Row],[Monthly_Fee]]*Table135[[#This Row],[Membership_Duration_months ]]</f>
        <v>8266.6666666666679</v>
      </c>
      <c r="N21" s="15">
        <f>Table13[[#This Row],[End_Date]]-Table13[[#This Row],[Start_Date]]</f>
        <v>310</v>
      </c>
      <c r="O21" s="34" t="s">
        <v>112</v>
      </c>
    </row>
    <row r="22" spans="1:15" ht="15.6" customHeight="1" x14ac:dyDescent="0.3">
      <c r="A22" s="21" t="s">
        <v>70</v>
      </c>
      <c r="B22" s="22" t="s">
        <v>71</v>
      </c>
      <c r="C22" s="23">
        <v>28</v>
      </c>
      <c r="D22" s="22" t="s">
        <v>12</v>
      </c>
      <c r="E22" s="22" t="s">
        <v>31</v>
      </c>
      <c r="F22" s="24">
        <v>45417</v>
      </c>
      <c r="G22" s="24">
        <v>45608</v>
      </c>
      <c r="H22" s="23">
        <v>2500</v>
      </c>
      <c r="I22" s="23">
        <v>21</v>
      </c>
      <c r="J22" s="22" t="s">
        <v>35</v>
      </c>
      <c r="K22" s="25" t="s">
        <v>72</v>
      </c>
      <c r="L22" s="26">
        <f t="shared" si="0"/>
        <v>6.3666666666666663</v>
      </c>
      <c r="M22" s="40">
        <f>Table135[[#This Row],[Monthly_Fee]]*Table135[[#This Row],[Membership_Duration_months ]]</f>
        <v>15916.666666666666</v>
      </c>
      <c r="N22" s="15">
        <f>Table13[[#This Row],[End_Date]]-Table13[[#This Row],[Start_Date]]</f>
        <v>191</v>
      </c>
      <c r="O22" s="39" t="s">
        <v>111</v>
      </c>
    </row>
    <row r="23" spans="1:15" ht="15.6" customHeight="1" x14ac:dyDescent="0.3">
      <c r="A23" s="21" t="s">
        <v>73</v>
      </c>
      <c r="B23" s="22" t="s">
        <v>74</v>
      </c>
      <c r="C23" s="23">
        <v>57</v>
      </c>
      <c r="D23" s="22" t="s">
        <v>27</v>
      </c>
      <c r="E23" s="22" t="s">
        <v>41</v>
      </c>
      <c r="F23" s="24">
        <v>45146</v>
      </c>
      <c r="G23" s="24">
        <v>45674</v>
      </c>
      <c r="H23" s="23">
        <v>1800</v>
      </c>
      <c r="I23" s="23">
        <v>19</v>
      </c>
      <c r="J23" s="22" t="s">
        <v>35</v>
      </c>
      <c r="K23" s="22"/>
      <c r="L23" s="26">
        <f t="shared" si="0"/>
        <v>17.600000000000001</v>
      </c>
      <c r="M23" s="40">
        <f>Table135[[#This Row],[Monthly_Fee]]*Table135[[#This Row],[Membership_Duration_months ]]</f>
        <v>31680.000000000004</v>
      </c>
      <c r="N23" s="15">
        <f>Table13[[#This Row],[End_Date]]-Table13[[#This Row],[Start_Date]]</f>
        <v>528</v>
      </c>
      <c r="O23" s="34" t="s">
        <v>112</v>
      </c>
    </row>
    <row r="24" spans="1:15" ht="15.6" customHeight="1" x14ac:dyDescent="0.3">
      <c r="A24" s="21" t="s">
        <v>75</v>
      </c>
      <c r="B24" s="22" t="s">
        <v>76</v>
      </c>
      <c r="C24" s="23">
        <v>26</v>
      </c>
      <c r="D24" s="22" t="s">
        <v>27</v>
      </c>
      <c r="E24" s="22" t="s">
        <v>41</v>
      </c>
      <c r="F24" s="24">
        <v>45320</v>
      </c>
      <c r="G24" s="24">
        <v>45616</v>
      </c>
      <c r="H24" s="23">
        <v>1800</v>
      </c>
      <c r="I24" s="23">
        <v>5</v>
      </c>
      <c r="J24" s="25" t="s">
        <v>14</v>
      </c>
      <c r="K24" s="22"/>
      <c r="L24" s="26">
        <f t="shared" si="0"/>
        <v>9.8666666666666671</v>
      </c>
      <c r="M24" s="40">
        <f>Table135[[#This Row],[Monthly_Fee]]*Table135[[#This Row],[Membership_Duration_months ]]</f>
        <v>17760</v>
      </c>
      <c r="N24" s="15">
        <f>Table13[[#This Row],[End_Date]]-Table13[[#This Row],[Start_Date]]</f>
        <v>296</v>
      </c>
      <c r="O24" s="37" t="s">
        <v>112</v>
      </c>
    </row>
    <row r="25" spans="1:15" ht="15.6" customHeight="1" x14ac:dyDescent="0.3">
      <c r="A25" s="21" t="s">
        <v>77</v>
      </c>
      <c r="B25" s="22" t="s">
        <v>78</v>
      </c>
      <c r="C25" s="23">
        <v>48</v>
      </c>
      <c r="D25" s="22" t="s">
        <v>12</v>
      </c>
      <c r="E25" s="22" t="s">
        <v>41</v>
      </c>
      <c r="F25" s="24">
        <v>45451</v>
      </c>
      <c r="G25" s="24">
        <v>45455</v>
      </c>
      <c r="H25" s="23">
        <v>1800</v>
      </c>
      <c r="I25" s="23">
        <v>18</v>
      </c>
      <c r="J25" s="22" t="s">
        <v>67</v>
      </c>
      <c r="K25" s="22"/>
      <c r="L25" s="26">
        <f t="shared" si="0"/>
        <v>0.13333333333333333</v>
      </c>
      <c r="M25" s="40">
        <f>Table135[[#This Row],[Monthly_Fee]]*Table135[[#This Row],[Membership_Duration_months ]]</f>
        <v>240</v>
      </c>
      <c r="N25" s="15">
        <f>Table13[[#This Row],[End_Date]]-Table13[[#This Row],[Start_Date]]</f>
        <v>4</v>
      </c>
      <c r="O25" s="34" t="s">
        <v>112</v>
      </c>
    </row>
    <row r="26" spans="1:15" ht="15.6" customHeight="1" x14ac:dyDescent="0.3">
      <c r="A26" s="21" t="s">
        <v>79</v>
      </c>
      <c r="B26" s="22" t="s">
        <v>80</v>
      </c>
      <c r="C26" s="23">
        <v>25</v>
      </c>
      <c r="D26" s="22" t="s">
        <v>27</v>
      </c>
      <c r="E26" s="22" t="s">
        <v>22</v>
      </c>
      <c r="F26" s="24">
        <v>45439</v>
      </c>
      <c r="G26" s="24">
        <v>45730</v>
      </c>
      <c r="H26" s="23">
        <v>1200</v>
      </c>
      <c r="I26" s="23">
        <v>6</v>
      </c>
      <c r="J26" s="25" t="s">
        <v>14</v>
      </c>
      <c r="K26" s="22"/>
      <c r="L26" s="26">
        <f t="shared" si="0"/>
        <v>9.6999999999999993</v>
      </c>
      <c r="M26" s="40">
        <f>Table135[[#This Row],[Monthly_Fee]]*Table135[[#This Row],[Membership_Duration_months ]]</f>
        <v>11640</v>
      </c>
      <c r="N26" s="15">
        <f>Table13[[#This Row],[End_Date]]-Table13[[#This Row],[Start_Date]]</f>
        <v>291</v>
      </c>
      <c r="O26" s="37" t="s">
        <v>112</v>
      </c>
    </row>
    <row r="27" spans="1:15" ht="15.6" customHeight="1" x14ac:dyDescent="0.3">
      <c r="A27" s="21" t="s">
        <v>81</v>
      </c>
      <c r="B27" s="22" t="s">
        <v>82</v>
      </c>
      <c r="C27" s="23">
        <v>53</v>
      </c>
      <c r="D27" s="22" t="s">
        <v>12</v>
      </c>
      <c r="E27" s="22" t="s">
        <v>41</v>
      </c>
      <c r="F27" s="24">
        <v>45286</v>
      </c>
      <c r="G27" s="24">
        <v>45372</v>
      </c>
      <c r="H27" s="23">
        <v>1800</v>
      </c>
      <c r="I27" s="23">
        <v>17</v>
      </c>
      <c r="J27" s="22" t="s">
        <v>35</v>
      </c>
      <c r="K27" s="25" t="s">
        <v>83</v>
      </c>
      <c r="L27" s="26">
        <f t="shared" si="0"/>
        <v>2.8666666666666667</v>
      </c>
      <c r="M27" s="40">
        <f>Table135[[#This Row],[Monthly_Fee]]*Table135[[#This Row],[Membership_Duration_months ]]</f>
        <v>5160</v>
      </c>
      <c r="N27" s="15">
        <f>Table13[[#This Row],[End_Date]]-Table13[[#This Row],[Start_Date]]</f>
        <v>86</v>
      </c>
      <c r="O27" s="36" t="s">
        <v>111</v>
      </c>
    </row>
    <row r="28" spans="1:15" ht="15.6" customHeight="1" x14ac:dyDescent="0.3">
      <c r="A28" s="21" t="s">
        <v>84</v>
      </c>
      <c r="B28" s="22" t="s">
        <v>85</v>
      </c>
      <c r="C28" s="23">
        <v>42</v>
      </c>
      <c r="D28" s="22" t="s">
        <v>27</v>
      </c>
      <c r="E28" s="22" t="s">
        <v>22</v>
      </c>
      <c r="F28" s="24">
        <v>45702</v>
      </c>
      <c r="G28" s="24">
        <v>45727</v>
      </c>
      <c r="H28" s="23">
        <v>1200</v>
      </c>
      <c r="I28" s="23">
        <v>3</v>
      </c>
      <c r="J28" s="22" t="s">
        <v>67</v>
      </c>
      <c r="K28" s="22"/>
      <c r="L28" s="26">
        <f t="shared" si="0"/>
        <v>0.83333333333333337</v>
      </c>
      <c r="M28" s="40">
        <f>Table135[[#This Row],[Monthly_Fee]]*Table135[[#This Row],[Membership_Duration_months ]]</f>
        <v>1000</v>
      </c>
      <c r="N28" s="15">
        <f>Table13[[#This Row],[End_Date]]-Table13[[#This Row],[Start_Date]]</f>
        <v>25</v>
      </c>
      <c r="O28" s="37" t="s">
        <v>112</v>
      </c>
    </row>
    <row r="29" spans="1:15" ht="15.6" customHeight="1" x14ac:dyDescent="0.3">
      <c r="A29" s="21" t="s">
        <v>86</v>
      </c>
      <c r="B29" s="22" t="s">
        <v>87</v>
      </c>
      <c r="C29" s="23">
        <v>24</v>
      </c>
      <c r="D29" s="22" t="s">
        <v>12</v>
      </c>
      <c r="E29" s="22" t="s">
        <v>31</v>
      </c>
      <c r="F29" s="24">
        <v>45698</v>
      </c>
      <c r="G29" s="24">
        <v>45726</v>
      </c>
      <c r="H29" s="23">
        <v>2500</v>
      </c>
      <c r="I29" s="23">
        <v>28</v>
      </c>
      <c r="J29" s="22" t="s">
        <v>35</v>
      </c>
      <c r="K29" s="22"/>
      <c r="L29" s="26">
        <f t="shared" si="0"/>
        <v>0.93333333333333335</v>
      </c>
      <c r="M29" s="40">
        <f>Table135[[#This Row],[Monthly_Fee]]*Table135[[#This Row],[Membership_Duration_months ]]</f>
        <v>2333.3333333333335</v>
      </c>
      <c r="N29" s="15">
        <f>Table13[[#This Row],[End_Date]]-Table13[[#This Row],[Start_Date]]</f>
        <v>28</v>
      </c>
      <c r="O29" s="34" t="s">
        <v>112</v>
      </c>
    </row>
    <row r="30" spans="1:15" ht="15.6" customHeight="1" x14ac:dyDescent="0.3">
      <c r="A30" s="21" t="s">
        <v>88</v>
      </c>
      <c r="B30" s="22" t="s">
        <v>89</v>
      </c>
      <c r="C30" s="23">
        <v>53</v>
      </c>
      <c r="D30" s="22" t="s">
        <v>12</v>
      </c>
      <c r="E30" s="22" t="s">
        <v>22</v>
      </c>
      <c r="F30" s="24">
        <v>45614</v>
      </c>
      <c r="G30" s="24">
        <v>45645</v>
      </c>
      <c r="H30" s="23">
        <v>1200</v>
      </c>
      <c r="I30" s="23">
        <v>23</v>
      </c>
      <c r="J30" s="22" t="s">
        <v>18</v>
      </c>
      <c r="K30" s="22"/>
      <c r="L30" s="26">
        <f t="shared" si="0"/>
        <v>1.0333333333333334</v>
      </c>
      <c r="M30" s="40">
        <f>Table135[[#This Row],[Monthly_Fee]]*Table135[[#This Row],[Membership_Duration_months ]]</f>
        <v>1240.0000000000002</v>
      </c>
      <c r="N30" s="15">
        <f>Table13[[#This Row],[End_Date]]-Table13[[#This Row],[Start_Date]]</f>
        <v>31</v>
      </c>
      <c r="O30" s="37" t="s">
        <v>112</v>
      </c>
    </row>
    <row r="31" spans="1:15" ht="15.6" customHeight="1" x14ac:dyDescent="0.3">
      <c r="A31" s="21" t="s">
        <v>90</v>
      </c>
      <c r="B31" s="22" t="s">
        <v>91</v>
      </c>
      <c r="C31" s="23">
        <v>29</v>
      </c>
      <c r="D31" s="22" t="s">
        <v>27</v>
      </c>
      <c r="E31" s="22" t="s">
        <v>31</v>
      </c>
      <c r="F31" s="24">
        <v>45401</v>
      </c>
      <c r="G31" s="24">
        <v>45408</v>
      </c>
      <c r="H31" s="23">
        <v>2500</v>
      </c>
      <c r="I31" s="23">
        <v>8</v>
      </c>
      <c r="J31" s="25" t="s">
        <v>23</v>
      </c>
      <c r="K31" s="22"/>
      <c r="L31" s="26">
        <f t="shared" si="0"/>
        <v>0.23333333333333334</v>
      </c>
      <c r="M31" s="40">
        <f>Table135[[#This Row],[Monthly_Fee]]*Table135[[#This Row],[Membership_Duration_months ]]</f>
        <v>583.33333333333337</v>
      </c>
      <c r="N31" s="15">
        <f>Table13[[#This Row],[End_Date]]-Table13[[#This Row],[Start_Date]]</f>
        <v>7</v>
      </c>
      <c r="O31" s="34" t="s">
        <v>112</v>
      </c>
    </row>
    <row r="32" spans="1:15" ht="15.6" customHeight="1" x14ac:dyDescent="0.3">
      <c r="A32" s="21" t="s">
        <v>92</v>
      </c>
      <c r="B32" s="22" t="s">
        <v>93</v>
      </c>
      <c r="C32" s="23">
        <v>31</v>
      </c>
      <c r="D32" s="22" t="s">
        <v>27</v>
      </c>
      <c r="E32" s="22" t="s">
        <v>31</v>
      </c>
      <c r="F32" s="24">
        <v>45667</v>
      </c>
      <c r="G32" s="24">
        <v>45745</v>
      </c>
      <c r="H32" s="23">
        <v>2500</v>
      </c>
      <c r="I32" s="23">
        <v>23</v>
      </c>
      <c r="J32" s="22" t="s">
        <v>42</v>
      </c>
      <c r="K32" s="25" t="s">
        <v>94</v>
      </c>
      <c r="L32" s="26">
        <f t="shared" si="0"/>
        <v>2.6</v>
      </c>
      <c r="M32" s="40">
        <f>Table135[[#This Row],[Monthly_Fee]]*Table135[[#This Row],[Membership_Duration_months ]]</f>
        <v>6500</v>
      </c>
      <c r="N32" s="15">
        <f>Table13[[#This Row],[End_Date]]-Table13[[#This Row],[Start_Date]]</f>
        <v>78</v>
      </c>
      <c r="O32" s="39" t="s">
        <v>111</v>
      </c>
    </row>
    <row r="33" spans="1:15" ht="15.6" customHeight="1" x14ac:dyDescent="0.3">
      <c r="A33" s="21" t="s">
        <v>95</v>
      </c>
      <c r="B33" s="22" t="s">
        <v>96</v>
      </c>
      <c r="C33" s="23">
        <v>52</v>
      </c>
      <c r="D33" s="22" t="s">
        <v>27</v>
      </c>
      <c r="E33" s="22" t="s">
        <v>13</v>
      </c>
      <c r="F33" s="24">
        <v>45088</v>
      </c>
      <c r="G33" s="24">
        <v>45656</v>
      </c>
      <c r="H33" s="23">
        <v>800</v>
      </c>
      <c r="I33" s="23">
        <v>9</v>
      </c>
      <c r="J33" s="22" t="s">
        <v>67</v>
      </c>
      <c r="K33" s="25" t="s">
        <v>97</v>
      </c>
      <c r="L33" s="26">
        <f t="shared" si="0"/>
        <v>18.933333333333334</v>
      </c>
      <c r="M33" s="40">
        <f>Table135[[#This Row],[Monthly_Fee]]*Table135[[#This Row],[Membership_Duration_months ]]</f>
        <v>15146.666666666666</v>
      </c>
      <c r="N33" s="15">
        <f>Table13[[#This Row],[End_Date]]-Table13[[#This Row],[Start_Date]]</f>
        <v>568</v>
      </c>
      <c r="O33" s="36" t="s">
        <v>111</v>
      </c>
    </row>
    <row r="34" spans="1:15" ht="15.6" customHeight="1" x14ac:dyDescent="0.3">
      <c r="A34" s="21" t="s">
        <v>98</v>
      </c>
      <c r="B34" s="22" t="s">
        <v>99</v>
      </c>
      <c r="C34" s="23">
        <v>20</v>
      </c>
      <c r="D34" s="22" t="s">
        <v>12</v>
      </c>
      <c r="E34" s="22" t="s">
        <v>22</v>
      </c>
      <c r="F34" s="24">
        <v>45391</v>
      </c>
      <c r="G34" s="24">
        <v>45604</v>
      </c>
      <c r="H34" s="23">
        <v>1200</v>
      </c>
      <c r="I34" s="23">
        <v>2</v>
      </c>
      <c r="J34" s="22" t="s">
        <v>35</v>
      </c>
      <c r="K34" s="22"/>
      <c r="L34" s="26">
        <f t="shared" si="0"/>
        <v>7.1</v>
      </c>
      <c r="M34" s="40">
        <f>Table135[[#This Row],[Monthly_Fee]]*Table135[[#This Row],[Membership_Duration_months ]]</f>
        <v>8520</v>
      </c>
      <c r="N34" s="15">
        <f>Table13[[#This Row],[End_Date]]-Table13[[#This Row],[Start_Date]]</f>
        <v>213</v>
      </c>
      <c r="O34" s="37" t="s">
        <v>112</v>
      </c>
    </row>
    <row r="35" spans="1:15" ht="15.6" customHeight="1" x14ac:dyDescent="0.3">
      <c r="A35" s="21" t="s">
        <v>100</v>
      </c>
      <c r="B35" s="22" t="s">
        <v>101</v>
      </c>
      <c r="C35" s="23">
        <v>22</v>
      </c>
      <c r="D35" s="22" t="s">
        <v>12</v>
      </c>
      <c r="E35" s="22" t="s">
        <v>13</v>
      </c>
      <c r="F35" s="24">
        <v>45699</v>
      </c>
      <c r="G35" s="24">
        <v>45740</v>
      </c>
      <c r="H35" s="23">
        <v>800</v>
      </c>
      <c r="I35" s="23">
        <v>30</v>
      </c>
      <c r="J35" s="22" t="s">
        <v>35</v>
      </c>
      <c r="K35" s="22"/>
      <c r="L35" s="26">
        <f t="shared" si="0"/>
        <v>1.3666666666666667</v>
      </c>
      <c r="M35" s="40">
        <f>Table135[[#This Row],[Monthly_Fee]]*Table135[[#This Row],[Membership_Duration_months ]]</f>
        <v>1093.3333333333333</v>
      </c>
      <c r="N35" s="15">
        <f>Table13[[#This Row],[End_Date]]-Table13[[#This Row],[Start_Date]]</f>
        <v>41</v>
      </c>
      <c r="O35" s="34" t="s">
        <v>112</v>
      </c>
    </row>
    <row r="36" spans="1:15" ht="15.6" customHeight="1" x14ac:dyDescent="0.3">
      <c r="A36" s="21" t="s">
        <v>102</v>
      </c>
      <c r="B36" s="22" t="s">
        <v>103</v>
      </c>
      <c r="C36" s="23">
        <v>23</v>
      </c>
      <c r="D36" s="22" t="s">
        <v>12</v>
      </c>
      <c r="E36" s="22" t="s">
        <v>41</v>
      </c>
      <c r="F36" s="24">
        <v>45588</v>
      </c>
      <c r="G36" s="24">
        <v>45721</v>
      </c>
      <c r="H36" s="23">
        <v>1800</v>
      </c>
      <c r="I36" s="23">
        <v>23</v>
      </c>
      <c r="J36" s="22" t="s">
        <v>18</v>
      </c>
      <c r="K36" s="25" t="s">
        <v>104</v>
      </c>
      <c r="L36" s="26">
        <f t="shared" si="0"/>
        <v>4.4333333333333336</v>
      </c>
      <c r="M36" s="40">
        <f>Table135[[#This Row],[Monthly_Fee]]*Table135[[#This Row],[Membership_Duration_months ]]</f>
        <v>7980</v>
      </c>
      <c r="N36" s="15">
        <f>Table13[[#This Row],[End_Date]]-Table13[[#This Row],[Start_Date]]</f>
        <v>133</v>
      </c>
      <c r="O36" s="39" t="s">
        <v>111</v>
      </c>
    </row>
    <row r="37" spans="1:15" ht="15.6" customHeight="1" x14ac:dyDescent="0.3">
      <c r="A37" s="27" t="s">
        <v>105</v>
      </c>
      <c r="B37" s="28" t="s">
        <v>106</v>
      </c>
      <c r="C37" s="29">
        <v>27</v>
      </c>
      <c r="D37" s="28" t="s">
        <v>27</v>
      </c>
      <c r="E37" s="28" t="s">
        <v>22</v>
      </c>
      <c r="F37" s="30">
        <v>45312</v>
      </c>
      <c r="G37" s="30">
        <v>45652</v>
      </c>
      <c r="H37" s="29">
        <v>1200</v>
      </c>
      <c r="I37" s="29">
        <v>27</v>
      </c>
      <c r="J37" s="28" t="s">
        <v>18</v>
      </c>
      <c r="K37" s="28"/>
      <c r="L37" s="31">
        <f t="shared" si="0"/>
        <v>11.333333333333334</v>
      </c>
      <c r="M37" s="40">
        <f>Table135[[#This Row],[Monthly_Fee]]*Table135[[#This Row],[Membership_Duration_months ]]</f>
        <v>13600</v>
      </c>
      <c r="N37" s="15">
        <f>Table13[[#This Row],[End_Date]]-Table13[[#This Row],[Start_Date]]</f>
        <v>340</v>
      </c>
      <c r="O37" s="34" t="s">
        <v>112</v>
      </c>
    </row>
    <row r="38" spans="1:15" ht="7.2" customHeight="1" x14ac:dyDescent="0.3"/>
    <row r="39" spans="1:15" ht="7.2" customHeight="1" x14ac:dyDescent="0.3"/>
    <row r="40" spans="1:15" ht="7.2" customHeight="1" x14ac:dyDescent="0.3"/>
    <row r="41" spans="1:15" ht="7.2" customHeight="1" x14ac:dyDescent="0.3"/>
    <row r="42" spans="1:15" ht="7.2" customHeight="1" x14ac:dyDescent="0.3"/>
    <row r="43" spans="1:15" ht="7.2" customHeight="1" x14ac:dyDescent="0.3"/>
    <row r="44" spans="1:15" ht="7.2" customHeight="1" x14ac:dyDescent="0.3"/>
    <row r="45" spans="1:15" ht="7.2" customHeight="1" x14ac:dyDescent="0.3"/>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EE91-CFE1-4B62-9159-FC9CEBC6F7E3}">
  <dimension ref="A3:B16"/>
  <sheetViews>
    <sheetView workbookViewId="0">
      <selection activeCell="B27" sqref="B27"/>
    </sheetView>
  </sheetViews>
  <sheetFormatPr defaultRowHeight="14.4" x14ac:dyDescent="0.3"/>
  <cols>
    <col min="1" max="1" width="13.77734375" bestFit="1" customWidth="1"/>
    <col min="2" max="2" width="20.21875" bestFit="1" customWidth="1"/>
    <col min="3" max="35" width="15.5546875" bestFit="1" customWidth="1"/>
    <col min="36" max="36" width="10.77734375" bestFit="1" customWidth="1"/>
  </cols>
  <sheetData>
    <row r="3" spans="1:2" x14ac:dyDescent="0.3">
      <c r="A3" s="41" t="s">
        <v>113</v>
      </c>
      <c r="B3" s="40" t="s">
        <v>118</v>
      </c>
    </row>
    <row r="4" spans="1:2" x14ac:dyDescent="0.3">
      <c r="A4" s="42" t="s">
        <v>31</v>
      </c>
      <c r="B4" s="40">
        <v>82083.333333333343</v>
      </c>
    </row>
    <row r="5" spans="1:2" x14ac:dyDescent="0.3">
      <c r="A5" s="47" t="s">
        <v>14</v>
      </c>
      <c r="B5" s="40">
        <v>17916.666666666668</v>
      </c>
    </row>
    <row r="6" spans="1:2" x14ac:dyDescent="0.3">
      <c r="A6" s="47" t="s">
        <v>67</v>
      </c>
      <c r="B6" s="40">
        <v>36333.333333333336</v>
      </c>
    </row>
    <row r="7" spans="1:2" x14ac:dyDescent="0.3">
      <c r="A7" s="47" t="s">
        <v>23</v>
      </c>
      <c r="B7" s="40">
        <v>583.33333333333337</v>
      </c>
    </row>
    <row r="8" spans="1:2" x14ac:dyDescent="0.3">
      <c r="A8" s="47" t="s">
        <v>42</v>
      </c>
      <c r="B8" s="40">
        <v>9000</v>
      </c>
    </row>
    <row r="9" spans="1:2" x14ac:dyDescent="0.3">
      <c r="A9" s="47" t="s">
        <v>35</v>
      </c>
      <c r="B9" s="40">
        <v>18250</v>
      </c>
    </row>
    <row r="10" spans="1:2" x14ac:dyDescent="0.3">
      <c r="A10" s="42" t="s">
        <v>41</v>
      </c>
      <c r="B10" s="40">
        <v>74700</v>
      </c>
    </row>
    <row r="11" spans="1:2" x14ac:dyDescent="0.3">
      <c r="A11" s="47" t="s">
        <v>14</v>
      </c>
      <c r="B11" s="40">
        <v>17760</v>
      </c>
    </row>
    <row r="12" spans="1:2" x14ac:dyDescent="0.3">
      <c r="A12" s="47" t="s">
        <v>67</v>
      </c>
      <c r="B12" s="40">
        <v>240</v>
      </c>
    </row>
    <row r="13" spans="1:2" x14ac:dyDescent="0.3">
      <c r="A13" s="47" t="s">
        <v>42</v>
      </c>
      <c r="B13" s="40">
        <v>11880</v>
      </c>
    </row>
    <row r="14" spans="1:2" x14ac:dyDescent="0.3">
      <c r="A14" s="47" t="s">
        <v>35</v>
      </c>
      <c r="B14" s="40">
        <v>36840</v>
      </c>
    </row>
    <row r="15" spans="1:2" x14ac:dyDescent="0.3">
      <c r="A15" s="47" t="s">
        <v>18</v>
      </c>
      <c r="B15" s="40">
        <v>7980</v>
      </c>
    </row>
    <row r="16" spans="1:2" x14ac:dyDescent="0.3">
      <c r="A16" s="42" t="s">
        <v>114</v>
      </c>
      <c r="B16" s="40">
        <v>156783.33333333334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4BD6-2F49-46CD-9F57-A9C78A24F1AF}">
  <dimension ref="A1:M37"/>
  <sheetViews>
    <sheetView zoomScale="76" workbookViewId="0">
      <selection activeCell="B27" sqref="B27"/>
    </sheetView>
  </sheetViews>
  <sheetFormatPr defaultRowHeight="14.4" x14ac:dyDescent="0.3"/>
  <cols>
    <col min="1" max="1" width="13" bestFit="1" customWidth="1"/>
    <col min="2" max="2" width="14.88671875" bestFit="1" customWidth="1"/>
    <col min="3" max="3" width="8.6640625" bestFit="1" customWidth="1"/>
    <col min="4" max="4" width="11.5546875" bestFit="1" customWidth="1"/>
    <col min="5" max="5" width="21.33203125" bestFit="1" customWidth="1"/>
    <col min="6" max="6" width="14.33203125" bestFit="1" customWidth="1"/>
    <col min="7" max="7" width="13.5546875" bestFit="1" customWidth="1"/>
    <col min="8" max="8" width="16.5546875" bestFit="1" customWidth="1"/>
    <col min="9" max="9" width="15.21875" bestFit="1" customWidth="1"/>
    <col min="10" max="10" width="9.77734375" bestFit="1" customWidth="1"/>
    <col min="11" max="11" width="17.5546875" bestFit="1" customWidth="1"/>
    <col min="12" max="12" width="32.77734375" bestFit="1" customWidth="1"/>
    <col min="13" max="13" width="18.44140625" customWidth="1"/>
    <col min="14" max="14" width="22.77734375" customWidth="1"/>
  </cols>
  <sheetData>
    <row r="1" spans="1:13" ht="30.6" customHeight="1" x14ac:dyDescent="0.3"/>
    <row r="2" spans="1:13" ht="22.8" customHeight="1" x14ac:dyDescent="0.3">
      <c r="A2" s="17" t="s">
        <v>107</v>
      </c>
      <c r="B2" s="18" t="s">
        <v>0</v>
      </c>
      <c r="C2" s="19" t="s">
        <v>1</v>
      </c>
      <c r="D2" s="19" t="s">
        <v>2</v>
      </c>
      <c r="E2" s="19" t="s">
        <v>3</v>
      </c>
      <c r="F2" s="19" t="s">
        <v>4</v>
      </c>
      <c r="G2" s="19" t="s">
        <v>5</v>
      </c>
      <c r="H2" s="19" t="s">
        <v>6</v>
      </c>
      <c r="I2" s="19" t="s">
        <v>7</v>
      </c>
      <c r="J2" s="19" t="s">
        <v>8</v>
      </c>
      <c r="K2" s="18" t="s">
        <v>9</v>
      </c>
      <c r="L2" s="19" t="s">
        <v>109</v>
      </c>
      <c r="M2" s="15" t="s">
        <v>108</v>
      </c>
    </row>
    <row r="3" spans="1:13" x14ac:dyDescent="0.3">
      <c r="A3" s="21" t="s">
        <v>10</v>
      </c>
      <c r="B3" s="22" t="s">
        <v>11</v>
      </c>
      <c r="C3" s="23">
        <v>59</v>
      </c>
      <c r="D3" s="22" t="s">
        <v>12</v>
      </c>
      <c r="E3" s="22" t="s">
        <v>13</v>
      </c>
      <c r="F3" s="24">
        <v>45235</v>
      </c>
      <c r="G3" s="24">
        <v>45425</v>
      </c>
      <c r="H3" s="23">
        <v>800</v>
      </c>
      <c r="I3" s="23">
        <v>25</v>
      </c>
      <c r="J3" s="22" t="s">
        <v>14</v>
      </c>
      <c r="K3" s="25" t="s">
        <v>15</v>
      </c>
      <c r="L3" s="26">
        <f>M3/30</f>
        <v>6.333333333333333</v>
      </c>
      <c r="M3" s="15">
        <f>Table136[[#This Row],[End_Date]]-Table136[[#This Row],[Start_Date]]</f>
        <v>190</v>
      </c>
    </row>
    <row r="4" spans="1:13" x14ac:dyDescent="0.3">
      <c r="A4" s="21" t="s">
        <v>16</v>
      </c>
      <c r="B4" s="22" t="s">
        <v>17</v>
      </c>
      <c r="C4" s="23">
        <v>27</v>
      </c>
      <c r="D4" s="22" t="s">
        <v>12</v>
      </c>
      <c r="E4" s="22" t="s">
        <v>13</v>
      </c>
      <c r="F4" s="24">
        <v>45714</v>
      </c>
      <c r="G4" s="24">
        <v>45740</v>
      </c>
      <c r="H4" s="23">
        <v>800</v>
      </c>
      <c r="I4" s="23">
        <v>20</v>
      </c>
      <c r="J4" s="22" t="s">
        <v>18</v>
      </c>
      <c r="K4" s="25" t="s">
        <v>19</v>
      </c>
      <c r="L4" s="26">
        <f t="shared" ref="L4:L37" si="0">M4/30</f>
        <v>0.8666666666666667</v>
      </c>
      <c r="M4" s="15">
        <f>Table136[[#This Row],[End_Date]]-Table136[[#This Row],[Start_Date]]</f>
        <v>26</v>
      </c>
    </row>
    <row r="5" spans="1:13" x14ac:dyDescent="0.3">
      <c r="A5" s="21" t="s">
        <v>20</v>
      </c>
      <c r="B5" s="22" t="s">
        <v>21</v>
      </c>
      <c r="C5" s="23">
        <v>24</v>
      </c>
      <c r="D5" s="22" t="s">
        <v>12</v>
      </c>
      <c r="E5" s="22" t="s">
        <v>22</v>
      </c>
      <c r="F5" s="24">
        <v>45191</v>
      </c>
      <c r="G5" s="24">
        <v>45371</v>
      </c>
      <c r="H5" s="23">
        <v>1200</v>
      </c>
      <c r="I5" s="23">
        <v>18</v>
      </c>
      <c r="J5" s="22" t="s">
        <v>23</v>
      </c>
      <c r="K5" s="25" t="s">
        <v>24</v>
      </c>
      <c r="L5" s="26">
        <f t="shared" si="0"/>
        <v>6</v>
      </c>
      <c r="M5" s="15">
        <f>Table136[[#This Row],[End_Date]]-Table136[[#This Row],[Start_Date]]</f>
        <v>180</v>
      </c>
    </row>
    <row r="6" spans="1:13" x14ac:dyDescent="0.3">
      <c r="A6" s="21" t="s">
        <v>25</v>
      </c>
      <c r="B6" s="22" t="s">
        <v>26</v>
      </c>
      <c r="C6" s="23">
        <v>31</v>
      </c>
      <c r="D6" s="22" t="s">
        <v>27</v>
      </c>
      <c r="E6" s="22" t="s">
        <v>22</v>
      </c>
      <c r="F6" s="24">
        <v>45479</v>
      </c>
      <c r="G6" s="24">
        <v>45587</v>
      </c>
      <c r="H6" s="23">
        <v>1200</v>
      </c>
      <c r="I6" s="23">
        <v>16</v>
      </c>
      <c r="J6" s="22" t="s">
        <v>23</v>
      </c>
      <c r="K6" s="25" t="s">
        <v>28</v>
      </c>
      <c r="L6" s="26">
        <f t="shared" si="0"/>
        <v>3.6</v>
      </c>
      <c r="M6" s="15">
        <f>Table136[[#This Row],[End_Date]]-Table136[[#This Row],[Start_Date]]</f>
        <v>108</v>
      </c>
    </row>
    <row r="7" spans="1:13" x14ac:dyDescent="0.3">
      <c r="A7" s="21" t="s">
        <v>29</v>
      </c>
      <c r="B7" s="22" t="s">
        <v>30</v>
      </c>
      <c r="C7" s="23">
        <v>19</v>
      </c>
      <c r="D7" s="22" t="s">
        <v>12</v>
      </c>
      <c r="E7" s="22" t="s">
        <v>31</v>
      </c>
      <c r="F7" s="24">
        <v>45286</v>
      </c>
      <c r="G7" s="24">
        <v>45501</v>
      </c>
      <c r="H7" s="23">
        <v>2500</v>
      </c>
      <c r="I7" s="23">
        <v>12</v>
      </c>
      <c r="J7" s="22" t="s">
        <v>14</v>
      </c>
      <c r="K7" s="25" t="s">
        <v>32</v>
      </c>
      <c r="L7" s="26">
        <f t="shared" si="0"/>
        <v>7.166666666666667</v>
      </c>
      <c r="M7" s="15">
        <f>Table136[[#This Row],[End_Date]]-Table136[[#This Row],[Start_Date]]</f>
        <v>215</v>
      </c>
    </row>
    <row r="8" spans="1:13" x14ac:dyDescent="0.3">
      <c r="A8" s="21" t="s">
        <v>33</v>
      </c>
      <c r="B8" s="22" t="s">
        <v>34</v>
      </c>
      <c r="C8" s="23">
        <v>40</v>
      </c>
      <c r="D8" s="22" t="s">
        <v>12</v>
      </c>
      <c r="E8" s="22" t="s">
        <v>13</v>
      </c>
      <c r="F8" s="24">
        <v>45317</v>
      </c>
      <c r="G8" s="24">
        <v>45392</v>
      </c>
      <c r="H8" s="23">
        <v>800</v>
      </c>
      <c r="I8" s="23">
        <v>14</v>
      </c>
      <c r="J8" s="22" t="s">
        <v>35</v>
      </c>
      <c r="K8" s="25" t="s">
        <v>36</v>
      </c>
      <c r="L8" s="26">
        <f t="shared" si="0"/>
        <v>2.5</v>
      </c>
      <c r="M8" s="15">
        <f>Table136[[#This Row],[End_Date]]-Table136[[#This Row],[Start_Date]]</f>
        <v>75</v>
      </c>
    </row>
    <row r="9" spans="1:13" x14ac:dyDescent="0.3">
      <c r="A9" s="21" t="s">
        <v>37</v>
      </c>
      <c r="B9" s="22" t="s">
        <v>38</v>
      </c>
      <c r="C9" s="23">
        <v>41</v>
      </c>
      <c r="D9" s="22" t="s">
        <v>27</v>
      </c>
      <c r="E9" s="22" t="s">
        <v>13</v>
      </c>
      <c r="F9" s="24">
        <v>45588</v>
      </c>
      <c r="G9" s="24">
        <v>45677</v>
      </c>
      <c r="H9" s="23">
        <v>800</v>
      </c>
      <c r="I9" s="23">
        <v>25</v>
      </c>
      <c r="J9" s="22" t="s">
        <v>18</v>
      </c>
      <c r="K9" s="22"/>
      <c r="L9" s="26">
        <f t="shared" si="0"/>
        <v>2.9666666666666668</v>
      </c>
      <c r="M9" s="15">
        <f>Table136[[#This Row],[End_Date]]-Table136[[#This Row],[Start_Date]]</f>
        <v>89</v>
      </c>
    </row>
    <row r="10" spans="1:13" x14ac:dyDescent="0.3">
      <c r="A10" s="21" t="s">
        <v>39</v>
      </c>
      <c r="B10" s="22" t="s">
        <v>40</v>
      </c>
      <c r="C10" s="23">
        <v>43</v>
      </c>
      <c r="D10" s="22" t="s">
        <v>12</v>
      </c>
      <c r="E10" s="22" t="s">
        <v>41</v>
      </c>
      <c r="F10" s="24">
        <v>45450</v>
      </c>
      <c r="G10" s="24">
        <v>45563</v>
      </c>
      <c r="H10" s="23">
        <v>1800</v>
      </c>
      <c r="I10" s="23">
        <v>28</v>
      </c>
      <c r="J10" s="22" t="s">
        <v>42</v>
      </c>
      <c r="K10" s="22"/>
      <c r="L10" s="26">
        <f t="shared" si="0"/>
        <v>3.7666666666666666</v>
      </c>
      <c r="M10" s="15">
        <f>Table136[[#This Row],[End_Date]]-Table136[[#This Row],[Start_Date]]</f>
        <v>113</v>
      </c>
    </row>
    <row r="11" spans="1:13" x14ac:dyDescent="0.3">
      <c r="A11" s="21" t="s">
        <v>43</v>
      </c>
      <c r="B11" s="22" t="s">
        <v>44</v>
      </c>
      <c r="C11" s="23">
        <v>42</v>
      </c>
      <c r="D11" s="22" t="s">
        <v>12</v>
      </c>
      <c r="E11" s="22" t="s">
        <v>13</v>
      </c>
      <c r="F11" s="24">
        <v>45569</v>
      </c>
      <c r="G11" s="24">
        <v>45582</v>
      </c>
      <c r="H11" s="23">
        <v>800</v>
      </c>
      <c r="I11" s="23">
        <v>3</v>
      </c>
      <c r="J11" s="22" t="s">
        <v>42</v>
      </c>
      <c r="K11" s="25" t="s">
        <v>45</v>
      </c>
      <c r="L11" s="26">
        <f t="shared" si="0"/>
        <v>0.43333333333333335</v>
      </c>
      <c r="M11" s="15">
        <f>Table136[[#This Row],[End_Date]]-Table136[[#This Row],[Start_Date]]</f>
        <v>13</v>
      </c>
    </row>
    <row r="12" spans="1:13" x14ac:dyDescent="0.3">
      <c r="A12" s="21" t="s">
        <v>46</v>
      </c>
      <c r="B12" s="22" t="s">
        <v>47</v>
      </c>
      <c r="C12" s="23">
        <v>37</v>
      </c>
      <c r="D12" s="22" t="s">
        <v>12</v>
      </c>
      <c r="E12" s="22" t="s">
        <v>22</v>
      </c>
      <c r="F12" s="24">
        <v>45202</v>
      </c>
      <c r="G12" s="24">
        <v>45280</v>
      </c>
      <c r="H12" s="23">
        <v>1200</v>
      </c>
      <c r="I12" s="23">
        <v>29</v>
      </c>
      <c r="J12" s="22" t="s">
        <v>35</v>
      </c>
      <c r="K12" s="25" t="s">
        <v>48</v>
      </c>
      <c r="L12" s="26">
        <f t="shared" si="0"/>
        <v>2.6</v>
      </c>
      <c r="M12" s="15">
        <f>Table136[[#This Row],[End_Date]]-Table136[[#This Row],[Start_Date]]</f>
        <v>78</v>
      </c>
    </row>
    <row r="13" spans="1:13" x14ac:dyDescent="0.3">
      <c r="A13" s="21" t="s">
        <v>49</v>
      </c>
      <c r="B13" s="22" t="s">
        <v>50</v>
      </c>
      <c r="C13" s="23">
        <v>48</v>
      </c>
      <c r="D13" s="22" t="s">
        <v>27</v>
      </c>
      <c r="E13" s="22" t="s">
        <v>22</v>
      </c>
      <c r="F13" s="24">
        <v>45297</v>
      </c>
      <c r="G13" s="24">
        <v>45459</v>
      </c>
      <c r="H13" s="23">
        <v>1200</v>
      </c>
      <c r="I13" s="23">
        <v>13</v>
      </c>
      <c r="J13" s="22" t="s">
        <v>14</v>
      </c>
      <c r="K13" s="25" t="s">
        <v>51</v>
      </c>
      <c r="L13" s="26">
        <f t="shared" si="0"/>
        <v>5.4</v>
      </c>
      <c r="M13" s="15">
        <f>Table136[[#This Row],[End_Date]]-Table136[[#This Row],[Start_Date]]</f>
        <v>162</v>
      </c>
    </row>
    <row r="14" spans="1:13" x14ac:dyDescent="0.3">
      <c r="A14" s="21" t="s">
        <v>52</v>
      </c>
      <c r="B14" s="22" t="s">
        <v>53</v>
      </c>
      <c r="C14" s="23">
        <v>36</v>
      </c>
      <c r="D14" s="22" t="s">
        <v>12</v>
      </c>
      <c r="E14" s="22" t="s">
        <v>22</v>
      </c>
      <c r="F14" s="24">
        <v>45154</v>
      </c>
      <c r="G14" s="24">
        <v>45568</v>
      </c>
      <c r="H14" s="23">
        <v>1200</v>
      </c>
      <c r="I14" s="23">
        <v>19</v>
      </c>
      <c r="J14" s="22" t="s">
        <v>42</v>
      </c>
      <c r="K14" s="25" t="s">
        <v>54</v>
      </c>
      <c r="L14" s="26">
        <f t="shared" si="0"/>
        <v>13.8</v>
      </c>
      <c r="M14" s="15">
        <f>Table136[[#This Row],[End_Date]]-Table136[[#This Row],[Start_Date]]</f>
        <v>414</v>
      </c>
    </row>
    <row r="15" spans="1:13" x14ac:dyDescent="0.3">
      <c r="A15" s="21" t="s">
        <v>55</v>
      </c>
      <c r="B15" s="22" t="s">
        <v>56</v>
      </c>
      <c r="C15" s="23">
        <v>48</v>
      </c>
      <c r="D15" s="22" t="s">
        <v>27</v>
      </c>
      <c r="E15" s="22" t="s">
        <v>41</v>
      </c>
      <c r="F15" s="24">
        <v>45556</v>
      </c>
      <c r="G15" s="24">
        <v>45641</v>
      </c>
      <c r="H15" s="23">
        <v>1800</v>
      </c>
      <c r="I15" s="23">
        <v>22</v>
      </c>
      <c r="J15" s="22" t="s">
        <v>42</v>
      </c>
      <c r="K15" s="22"/>
      <c r="L15" s="26">
        <f t="shared" si="0"/>
        <v>2.8333333333333335</v>
      </c>
      <c r="M15" s="15">
        <f>Table136[[#This Row],[End_Date]]-Table136[[#This Row],[Start_Date]]</f>
        <v>85</v>
      </c>
    </row>
    <row r="16" spans="1:13" x14ac:dyDescent="0.3">
      <c r="A16" s="21" t="s">
        <v>57</v>
      </c>
      <c r="B16" s="22" t="s">
        <v>58</v>
      </c>
      <c r="C16" s="23">
        <v>39</v>
      </c>
      <c r="D16" s="22" t="s">
        <v>12</v>
      </c>
      <c r="E16" s="22" t="s">
        <v>22</v>
      </c>
      <c r="F16" s="24">
        <v>45065</v>
      </c>
      <c r="G16" s="24">
        <v>45242</v>
      </c>
      <c r="H16" s="23">
        <v>1200</v>
      </c>
      <c r="I16" s="23">
        <v>28</v>
      </c>
      <c r="J16" s="22" t="s">
        <v>35</v>
      </c>
      <c r="K16" s="22"/>
      <c r="L16" s="26">
        <f t="shared" si="0"/>
        <v>5.9</v>
      </c>
      <c r="M16" s="15">
        <f>Table136[[#This Row],[End_Date]]-Table136[[#This Row],[Start_Date]]</f>
        <v>177</v>
      </c>
    </row>
    <row r="17" spans="1:13" x14ac:dyDescent="0.3">
      <c r="A17" s="21" t="s">
        <v>59</v>
      </c>
      <c r="B17" s="22" t="s">
        <v>60</v>
      </c>
      <c r="C17" s="23">
        <v>44</v>
      </c>
      <c r="D17" s="22" t="s">
        <v>27</v>
      </c>
      <c r="E17" s="22" t="s">
        <v>13</v>
      </c>
      <c r="F17" s="24">
        <v>45333</v>
      </c>
      <c r="G17" s="24">
        <v>45540</v>
      </c>
      <c r="H17" s="23">
        <v>800</v>
      </c>
      <c r="I17" s="23">
        <v>8</v>
      </c>
      <c r="J17" s="25" t="s">
        <v>23</v>
      </c>
      <c r="K17" s="22"/>
      <c r="L17" s="26">
        <f t="shared" si="0"/>
        <v>6.9</v>
      </c>
      <c r="M17" s="15">
        <f>Table136[[#This Row],[End_Date]]-Table136[[#This Row],[Start_Date]]</f>
        <v>207</v>
      </c>
    </row>
    <row r="18" spans="1:13" x14ac:dyDescent="0.3">
      <c r="A18" s="21" t="s">
        <v>61</v>
      </c>
      <c r="B18" s="22" t="s">
        <v>62</v>
      </c>
      <c r="C18" s="23">
        <v>39</v>
      </c>
      <c r="D18" s="22" t="s">
        <v>12</v>
      </c>
      <c r="E18" s="22" t="s">
        <v>31</v>
      </c>
      <c r="F18" s="24">
        <v>45702</v>
      </c>
      <c r="G18" s="24">
        <v>45732</v>
      </c>
      <c r="H18" s="23">
        <v>2500</v>
      </c>
      <c r="I18" s="23">
        <v>14</v>
      </c>
      <c r="J18" s="22" t="s">
        <v>42</v>
      </c>
      <c r="K18" s="22"/>
      <c r="L18" s="26">
        <f t="shared" si="0"/>
        <v>1</v>
      </c>
      <c r="M18" s="15">
        <f>Table136[[#This Row],[End_Date]]-Table136[[#This Row],[Start_Date]]</f>
        <v>30</v>
      </c>
    </row>
    <row r="19" spans="1:13" x14ac:dyDescent="0.3">
      <c r="A19" s="21" t="s">
        <v>63</v>
      </c>
      <c r="B19" s="22" t="s">
        <v>64</v>
      </c>
      <c r="C19" s="23">
        <v>35</v>
      </c>
      <c r="D19" s="22" t="s">
        <v>12</v>
      </c>
      <c r="E19" s="22" t="s">
        <v>22</v>
      </c>
      <c r="F19" s="24">
        <v>45329</v>
      </c>
      <c r="G19" s="24">
        <v>45685</v>
      </c>
      <c r="H19" s="23">
        <v>1200</v>
      </c>
      <c r="I19" s="23">
        <v>25</v>
      </c>
      <c r="J19" s="25" t="s">
        <v>23</v>
      </c>
      <c r="K19" s="22"/>
      <c r="L19" s="26">
        <f t="shared" si="0"/>
        <v>11.866666666666667</v>
      </c>
      <c r="M19" s="15">
        <f>Table136[[#This Row],[End_Date]]-Table136[[#This Row],[Start_Date]]</f>
        <v>356</v>
      </c>
    </row>
    <row r="20" spans="1:13" x14ac:dyDescent="0.3">
      <c r="A20" s="21" t="s">
        <v>65</v>
      </c>
      <c r="B20" s="22" t="s">
        <v>66</v>
      </c>
      <c r="C20" s="23">
        <v>56</v>
      </c>
      <c r="D20" s="22" t="s">
        <v>27</v>
      </c>
      <c r="E20" s="22" t="s">
        <v>31</v>
      </c>
      <c r="F20" s="24">
        <v>45213</v>
      </c>
      <c r="G20" s="24">
        <v>45649</v>
      </c>
      <c r="H20" s="23">
        <v>2500</v>
      </c>
      <c r="I20" s="23">
        <v>13</v>
      </c>
      <c r="J20" s="22" t="s">
        <v>67</v>
      </c>
      <c r="K20" s="22"/>
      <c r="L20" s="26">
        <f t="shared" si="0"/>
        <v>14.533333333333333</v>
      </c>
      <c r="M20" s="15">
        <f>Table136[[#This Row],[End_Date]]-Table136[[#This Row],[Start_Date]]</f>
        <v>436</v>
      </c>
    </row>
    <row r="21" spans="1:13" x14ac:dyDescent="0.3">
      <c r="A21" s="21" t="s">
        <v>68</v>
      </c>
      <c r="B21" s="22" t="s">
        <v>69</v>
      </c>
      <c r="C21" s="23">
        <v>27</v>
      </c>
      <c r="D21" s="22" t="s">
        <v>27</v>
      </c>
      <c r="E21" s="22" t="s">
        <v>13</v>
      </c>
      <c r="F21" s="24">
        <v>45354</v>
      </c>
      <c r="G21" s="24">
        <v>45664</v>
      </c>
      <c r="H21" s="23">
        <v>800</v>
      </c>
      <c r="I21" s="23">
        <v>26</v>
      </c>
      <c r="J21" s="22" t="s">
        <v>35</v>
      </c>
      <c r="K21" s="22"/>
      <c r="L21" s="26">
        <f t="shared" si="0"/>
        <v>10.333333333333334</v>
      </c>
      <c r="M21" s="15">
        <f>Table136[[#This Row],[End_Date]]-Table136[[#This Row],[Start_Date]]</f>
        <v>310</v>
      </c>
    </row>
    <row r="22" spans="1:13" x14ac:dyDescent="0.3">
      <c r="A22" s="21" t="s">
        <v>70</v>
      </c>
      <c r="B22" s="22" t="s">
        <v>71</v>
      </c>
      <c r="C22" s="23">
        <v>28</v>
      </c>
      <c r="D22" s="22" t="s">
        <v>12</v>
      </c>
      <c r="E22" s="22" t="s">
        <v>31</v>
      </c>
      <c r="F22" s="24">
        <v>45417</v>
      </c>
      <c r="G22" s="24">
        <v>45608</v>
      </c>
      <c r="H22" s="23">
        <v>2500</v>
      </c>
      <c r="I22" s="23">
        <v>21</v>
      </c>
      <c r="J22" s="22" t="s">
        <v>35</v>
      </c>
      <c r="K22" s="25" t="s">
        <v>72</v>
      </c>
      <c r="L22" s="26">
        <f t="shared" si="0"/>
        <v>6.3666666666666663</v>
      </c>
      <c r="M22" s="15">
        <f>Table136[[#This Row],[End_Date]]-Table136[[#This Row],[Start_Date]]</f>
        <v>191</v>
      </c>
    </row>
    <row r="23" spans="1:13" x14ac:dyDescent="0.3">
      <c r="A23" s="21" t="s">
        <v>73</v>
      </c>
      <c r="B23" s="22" t="s">
        <v>74</v>
      </c>
      <c r="C23" s="23">
        <v>57</v>
      </c>
      <c r="D23" s="22" t="s">
        <v>27</v>
      </c>
      <c r="E23" s="22" t="s">
        <v>41</v>
      </c>
      <c r="F23" s="24">
        <v>45146</v>
      </c>
      <c r="G23" s="24">
        <v>45674</v>
      </c>
      <c r="H23" s="23">
        <v>1800</v>
      </c>
      <c r="I23" s="23">
        <v>19</v>
      </c>
      <c r="J23" s="22" t="s">
        <v>35</v>
      </c>
      <c r="K23" s="22"/>
      <c r="L23" s="26">
        <f t="shared" si="0"/>
        <v>17.600000000000001</v>
      </c>
      <c r="M23" s="15">
        <f>Table136[[#This Row],[End_Date]]-Table136[[#This Row],[Start_Date]]</f>
        <v>528</v>
      </c>
    </row>
    <row r="24" spans="1:13" x14ac:dyDescent="0.3">
      <c r="A24" s="21" t="s">
        <v>75</v>
      </c>
      <c r="B24" s="22" t="s">
        <v>76</v>
      </c>
      <c r="C24" s="23">
        <v>26</v>
      </c>
      <c r="D24" s="22" t="s">
        <v>27</v>
      </c>
      <c r="E24" s="22" t="s">
        <v>41</v>
      </c>
      <c r="F24" s="24">
        <v>45320</v>
      </c>
      <c r="G24" s="24">
        <v>45616</v>
      </c>
      <c r="H24" s="23">
        <v>1800</v>
      </c>
      <c r="I24" s="23">
        <v>5</v>
      </c>
      <c r="J24" s="25" t="s">
        <v>14</v>
      </c>
      <c r="K24" s="22"/>
      <c r="L24" s="26">
        <f t="shared" si="0"/>
        <v>9.8666666666666671</v>
      </c>
      <c r="M24" s="15">
        <f>Table136[[#This Row],[End_Date]]-Table136[[#This Row],[Start_Date]]</f>
        <v>296</v>
      </c>
    </row>
    <row r="25" spans="1:13" x14ac:dyDescent="0.3">
      <c r="A25" s="21" t="s">
        <v>77</v>
      </c>
      <c r="B25" s="22" t="s">
        <v>78</v>
      </c>
      <c r="C25" s="23">
        <v>48</v>
      </c>
      <c r="D25" s="22" t="s">
        <v>12</v>
      </c>
      <c r="E25" s="22" t="s">
        <v>41</v>
      </c>
      <c r="F25" s="24">
        <v>45451</v>
      </c>
      <c r="G25" s="24">
        <v>45455</v>
      </c>
      <c r="H25" s="23">
        <v>1800</v>
      </c>
      <c r="I25" s="23">
        <v>18</v>
      </c>
      <c r="J25" s="22" t="s">
        <v>67</v>
      </c>
      <c r="K25" s="22"/>
      <c r="L25" s="26">
        <f t="shared" si="0"/>
        <v>0.13333333333333333</v>
      </c>
      <c r="M25" s="15">
        <f>Table136[[#This Row],[End_Date]]-Table136[[#This Row],[Start_Date]]</f>
        <v>4</v>
      </c>
    </row>
    <row r="26" spans="1:13" x14ac:dyDescent="0.3">
      <c r="A26" s="21" t="s">
        <v>79</v>
      </c>
      <c r="B26" s="22" t="s">
        <v>80</v>
      </c>
      <c r="C26" s="23">
        <v>25</v>
      </c>
      <c r="D26" s="22" t="s">
        <v>27</v>
      </c>
      <c r="E26" s="22" t="s">
        <v>22</v>
      </c>
      <c r="F26" s="24">
        <v>45439</v>
      </c>
      <c r="G26" s="24">
        <v>45730</v>
      </c>
      <c r="H26" s="23">
        <v>1200</v>
      </c>
      <c r="I26" s="23">
        <v>6</v>
      </c>
      <c r="J26" s="25" t="s">
        <v>14</v>
      </c>
      <c r="K26" s="22"/>
      <c r="L26" s="26">
        <f t="shared" si="0"/>
        <v>9.6999999999999993</v>
      </c>
      <c r="M26" s="15">
        <f>Table136[[#This Row],[End_Date]]-Table136[[#This Row],[Start_Date]]</f>
        <v>291</v>
      </c>
    </row>
    <row r="27" spans="1:13" x14ac:dyDescent="0.3">
      <c r="A27" s="21" t="s">
        <v>81</v>
      </c>
      <c r="B27" s="22" t="s">
        <v>82</v>
      </c>
      <c r="C27" s="23">
        <v>53</v>
      </c>
      <c r="D27" s="22" t="s">
        <v>12</v>
      </c>
      <c r="E27" s="22" t="s">
        <v>41</v>
      </c>
      <c r="F27" s="24">
        <v>45286</v>
      </c>
      <c r="G27" s="24">
        <v>45372</v>
      </c>
      <c r="H27" s="23">
        <v>1800</v>
      </c>
      <c r="I27" s="23">
        <v>17</v>
      </c>
      <c r="J27" s="22" t="s">
        <v>35</v>
      </c>
      <c r="K27" s="25" t="s">
        <v>83</v>
      </c>
      <c r="L27" s="26">
        <f t="shared" si="0"/>
        <v>2.8666666666666667</v>
      </c>
      <c r="M27" s="15">
        <f>Table136[[#This Row],[End_Date]]-Table136[[#This Row],[Start_Date]]</f>
        <v>86</v>
      </c>
    </row>
    <row r="28" spans="1:13" x14ac:dyDescent="0.3">
      <c r="A28" s="21" t="s">
        <v>84</v>
      </c>
      <c r="B28" s="22" t="s">
        <v>85</v>
      </c>
      <c r="C28" s="23">
        <v>42</v>
      </c>
      <c r="D28" s="22" t="s">
        <v>27</v>
      </c>
      <c r="E28" s="22" t="s">
        <v>22</v>
      </c>
      <c r="F28" s="24">
        <v>45702</v>
      </c>
      <c r="G28" s="24">
        <v>45727</v>
      </c>
      <c r="H28" s="23">
        <v>1200</v>
      </c>
      <c r="I28" s="23">
        <v>3</v>
      </c>
      <c r="J28" s="22" t="s">
        <v>67</v>
      </c>
      <c r="K28" s="22"/>
      <c r="L28" s="26">
        <f t="shared" si="0"/>
        <v>0.83333333333333337</v>
      </c>
      <c r="M28" s="15">
        <f>Table136[[#This Row],[End_Date]]-Table136[[#This Row],[Start_Date]]</f>
        <v>25</v>
      </c>
    </row>
    <row r="29" spans="1:13" x14ac:dyDescent="0.3">
      <c r="A29" s="21" t="s">
        <v>86</v>
      </c>
      <c r="B29" s="22" t="s">
        <v>87</v>
      </c>
      <c r="C29" s="23">
        <v>24</v>
      </c>
      <c r="D29" s="22" t="s">
        <v>12</v>
      </c>
      <c r="E29" s="22" t="s">
        <v>31</v>
      </c>
      <c r="F29" s="24">
        <v>45698</v>
      </c>
      <c r="G29" s="24">
        <v>45726</v>
      </c>
      <c r="H29" s="23">
        <v>2500</v>
      </c>
      <c r="I29" s="23">
        <v>28</v>
      </c>
      <c r="J29" s="22" t="s">
        <v>35</v>
      </c>
      <c r="K29" s="22"/>
      <c r="L29" s="26">
        <f t="shared" si="0"/>
        <v>0.93333333333333335</v>
      </c>
      <c r="M29" s="15">
        <f>Table136[[#This Row],[End_Date]]-Table136[[#This Row],[Start_Date]]</f>
        <v>28</v>
      </c>
    </row>
    <row r="30" spans="1:13" x14ac:dyDescent="0.3">
      <c r="A30" s="21" t="s">
        <v>88</v>
      </c>
      <c r="B30" s="22" t="s">
        <v>89</v>
      </c>
      <c r="C30" s="23">
        <v>53</v>
      </c>
      <c r="D30" s="22" t="s">
        <v>12</v>
      </c>
      <c r="E30" s="22" t="s">
        <v>22</v>
      </c>
      <c r="F30" s="24">
        <v>45614</v>
      </c>
      <c r="G30" s="24">
        <v>45645</v>
      </c>
      <c r="H30" s="23">
        <v>1200</v>
      </c>
      <c r="I30" s="23">
        <v>23</v>
      </c>
      <c r="J30" s="22" t="s">
        <v>18</v>
      </c>
      <c r="K30" s="22"/>
      <c r="L30" s="26">
        <f t="shared" si="0"/>
        <v>1.0333333333333334</v>
      </c>
      <c r="M30" s="15">
        <f>Table136[[#This Row],[End_Date]]-Table136[[#This Row],[Start_Date]]</f>
        <v>31</v>
      </c>
    </row>
    <row r="31" spans="1:13" x14ac:dyDescent="0.3">
      <c r="A31" s="21" t="s">
        <v>90</v>
      </c>
      <c r="B31" s="22" t="s">
        <v>91</v>
      </c>
      <c r="C31" s="23">
        <v>29</v>
      </c>
      <c r="D31" s="22" t="s">
        <v>27</v>
      </c>
      <c r="E31" s="22" t="s">
        <v>31</v>
      </c>
      <c r="F31" s="24">
        <v>45401</v>
      </c>
      <c r="G31" s="24">
        <v>45408</v>
      </c>
      <c r="H31" s="23">
        <v>2500</v>
      </c>
      <c r="I31" s="23">
        <v>8</v>
      </c>
      <c r="J31" s="25" t="s">
        <v>23</v>
      </c>
      <c r="K31" s="22"/>
      <c r="L31" s="26">
        <f t="shared" si="0"/>
        <v>0.23333333333333334</v>
      </c>
      <c r="M31" s="15">
        <f>Table136[[#This Row],[End_Date]]-Table136[[#This Row],[Start_Date]]</f>
        <v>7</v>
      </c>
    </row>
    <row r="32" spans="1:13" x14ac:dyDescent="0.3">
      <c r="A32" s="21" t="s">
        <v>92</v>
      </c>
      <c r="B32" s="22" t="s">
        <v>93</v>
      </c>
      <c r="C32" s="23">
        <v>31</v>
      </c>
      <c r="D32" s="22" t="s">
        <v>27</v>
      </c>
      <c r="E32" s="22" t="s">
        <v>31</v>
      </c>
      <c r="F32" s="24">
        <v>45667</v>
      </c>
      <c r="G32" s="24">
        <v>45745</v>
      </c>
      <c r="H32" s="23">
        <v>2500</v>
      </c>
      <c r="I32" s="23">
        <v>23</v>
      </c>
      <c r="J32" s="22" t="s">
        <v>42</v>
      </c>
      <c r="K32" s="25" t="s">
        <v>94</v>
      </c>
      <c r="L32" s="26">
        <f t="shared" si="0"/>
        <v>2.6</v>
      </c>
      <c r="M32" s="15">
        <f>Table136[[#This Row],[End_Date]]-Table136[[#This Row],[Start_Date]]</f>
        <v>78</v>
      </c>
    </row>
    <row r="33" spans="1:13" x14ac:dyDescent="0.3">
      <c r="A33" s="21" t="s">
        <v>95</v>
      </c>
      <c r="B33" s="22" t="s">
        <v>96</v>
      </c>
      <c r="C33" s="23">
        <v>52</v>
      </c>
      <c r="D33" s="22" t="s">
        <v>27</v>
      </c>
      <c r="E33" s="22" t="s">
        <v>13</v>
      </c>
      <c r="F33" s="24">
        <v>45088</v>
      </c>
      <c r="G33" s="24">
        <v>45656</v>
      </c>
      <c r="H33" s="23">
        <v>800</v>
      </c>
      <c r="I33" s="23">
        <v>9</v>
      </c>
      <c r="J33" s="22" t="s">
        <v>67</v>
      </c>
      <c r="K33" s="25" t="s">
        <v>97</v>
      </c>
      <c r="L33" s="26">
        <f t="shared" si="0"/>
        <v>18.933333333333334</v>
      </c>
      <c r="M33" s="15">
        <f>Table136[[#This Row],[End_Date]]-Table136[[#This Row],[Start_Date]]</f>
        <v>568</v>
      </c>
    </row>
    <row r="34" spans="1:13" x14ac:dyDescent="0.3">
      <c r="A34" s="21" t="s">
        <v>98</v>
      </c>
      <c r="B34" s="22" t="s">
        <v>99</v>
      </c>
      <c r="C34" s="23">
        <v>20</v>
      </c>
      <c r="D34" s="22" t="s">
        <v>12</v>
      </c>
      <c r="E34" s="22" t="s">
        <v>22</v>
      </c>
      <c r="F34" s="24">
        <v>45391</v>
      </c>
      <c r="G34" s="24">
        <v>45604</v>
      </c>
      <c r="H34" s="23">
        <v>1200</v>
      </c>
      <c r="I34" s="23">
        <v>2</v>
      </c>
      <c r="J34" s="22" t="s">
        <v>35</v>
      </c>
      <c r="K34" s="22"/>
      <c r="L34" s="26">
        <f t="shared" si="0"/>
        <v>7.1</v>
      </c>
      <c r="M34" s="15">
        <f>Table136[[#This Row],[End_Date]]-Table136[[#This Row],[Start_Date]]</f>
        <v>213</v>
      </c>
    </row>
    <row r="35" spans="1:13" x14ac:dyDescent="0.3">
      <c r="A35" s="21" t="s">
        <v>100</v>
      </c>
      <c r="B35" s="22" t="s">
        <v>101</v>
      </c>
      <c r="C35" s="23">
        <v>22</v>
      </c>
      <c r="D35" s="22" t="s">
        <v>12</v>
      </c>
      <c r="E35" s="22" t="s">
        <v>13</v>
      </c>
      <c r="F35" s="24">
        <v>45699</v>
      </c>
      <c r="G35" s="24">
        <v>45740</v>
      </c>
      <c r="H35" s="23">
        <v>800</v>
      </c>
      <c r="I35" s="23">
        <v>30</v>
      </c>
      <c r="J35" s="22" t="s">
        <v>35</v>
      </c>
      <c r="K35" s="22"/>
      <c r="L35" s="26">
        <f t="shared" si="0"/>
        <v>1.3666666666666667</v>
      </c>
      <c r="M35" s="15">
        <f>Table136[[#This Row],[End_Date]]-Table136[[#This Row],[Start_Date]]</f>
        <v>41</v>
      </c>
    </row>
    <row r="36" spans="1:13" x14ac:dyDescent="0.3">
      <c r="A36" s="21" t="s">
        <v>102</v>
      </c>
      <c r="B36" s="22" t="s">
        <v>103</v>
      </c>
      <c r="C36" s="23">
        <v>23</v>
      </c>
      <c r="D36" s="22" t="s">
        <v>12</v>
      </c>
      <c r="E36" s="22" t="s">
        <v>41</v>
      </c>
      <c r="F36" s="24">
        <v>45588</v>
      </c>
      <c r="G36" s="24">
        <v>45721</v>
      </c>
      <c r="H36" s="23">
        <v>1800</v>
      </c>
      <c r="I36" s="23">
        <v>23</v>
      </c>
      <c r="J36" s="22" t="s">
        <v>18</v>
      </c>
      <c r="K36" s="25" t="s">
        <v>104</v>
      </c>
      <c r="L36" s="26">
        <f t="shared" si="0"/>
        <v>4.4333333333333336</v>
      </c>
      <c r="M36" s="15">
        <f>Table136[[#This Row],[End_Date]]-Table136[[#This Row],[Start_Date]]</f>
        <v>133</v>
      </c>
    </row>
    <row r="37" spans="1:13" x14ac:dyDescent="0.3">
      <c r="A37" s="27" t="s">
        <v>105</v>
      </c>
      <c r="B37" s="28" t="s">
        <v>106</v>
      </c>
      <c r="C37" s="29">
        <v>27</v>
      </c>
      <c r="D37" s="28" t="s">
        <v>27</v>
      </c>
      <c r="E37" s="28" t="s">
        <v>22</v>
      </c>
      <c r="F37" s="30">
        <v>45312</v>
      </c>
      <c r="G37" s="30">
        <v>45652</v>
      </c>
      <c r="H37" s="29">
        <v>1200</v>
      </c>
      <c r="I37" s="29">
        <v>27</v>
      </c>
      <c r="J37" s="28" t="s">
        <v>18</v>
      </c>
      <c r="K37" s="28"/>
      <c r="L37" s="31">
        <f t="shared" si="0"/>
        <v>11.333333333333334</v>
      </c>
      <c r="M37" s="15">
        <f>Table136[[#This Row],[End_Date]]-Table136[[#This Row],[Start_Date]]</f>
        <v>340</v>
      </c>
    </row>
  </sheetData>
  <conditionalFormatting sqref="I1 I3:I1048576">
    <cfRule type="cellIs" dxfId="3007" priority="2" operator="greaterThan">
      <formula>8</formula>
    </cfRule>
  </conditionalFormatting>
  <conditionalFormatting sqref="L1 L3:L1048576">
    <cfRule type="cellIs" dxfId="3006" priority="1" operator="greaterThan">
      <formula>6</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2183C-C829-4B5A-A804-65B128B4DEE6}">
  <dimension ref="A1:I36"/>
  <sheetViews>
    <sheetView workbookViewId="0">
      <selection activeCell="B27" sqref="B27"/>
    </sheetView>
  </sheetViews>
  <sheetFormatPr defaultRowHeight="14.4" x14ac:dyDescent="0.3"/>
  <cols>
    <col min="1" max="5" width="17" customWidth="1"/>
    <col min="6" max="6" width="12.44140625" bestFit="1" customWidth="1"/>
    <col min="7" max="7" width="21.109375" bestFit="1" customWidth="1"/>
    <col min="8" max="8" width="25.5546875" customWidth="1"/>
    <col min="9" max="9" width="10.77734375" bestFit="1" customWidth="1"/>
    <col min="10" max="11" width="17" customWidth="1"/>
    <col min="12" max="12" width="15.109375" customWidth="1"/>
  </cols>
  <sheetData>
    <row r="1" spans="1:9" ht="30.6" customHeight="1" x14ac:dyDescent="0.35">
      <c r="A1" s="33" t="s">
        <v>0</v>
      </c>
      <c r="B1" s="32" t="s">
        <v>6</v>
      </c>
      <c r="C1" s="33" t="s">
        <v>9</v>
      </c>
      <c r="D1" s="33" t="s">
        <v>110</v>
      </c>
      <c r="F1" s="44" t="s">
        <v>116</v>
      </c>
      <c r="G1" s="43"/>
      <c r="H1" s="43"/>
      <c r="I1" s="43"/>
    </row>
    <row r="2" spans="1:9" ht="20.399999999999999" customHeight="1" x14ac:dyDescent="0.3">
      <c r="A2" s="34" t="s">
        <v>11</v>
      </c>
      <c r="B2" s="35">
        <v>800</v>
      </c>
      <c r="C2" s="36" t="s">
        <v>15</v>
      </c>
      <c r="D2" s="36" t="s">
        <v>111</v>
      </c>
    </row>
    <row r="3" spans="1:9" ht="20.399999999999999" customHeight="1" x14ac:dyDescent="0.3">
      <c r="A3" s="37" t="s">
        <v>17</v>
      </c>
      <c r="B3" s="38">
        <v>800</v>
      </c>
      <c r="C3" s="39" t="s">
        <v>19</v>
      </c>
      <c r="D3" s="39" t="s">
        <v>111</v>
      </c>
      <c r="G3" s="41" t="s">
        <v>110</v>
      </c>
      <c r="H3" s="40" t="s">
        <v>115</v>
      </c>
    </row>
    <row r="4" spans="1:9" ht="20.399999999999999" customHeight="1" x14ac:dyDescent="0.3">
      <c r="A4" s="34" t="s">
        <v>21</v>
      </c>
      <c r="B4" s="35">
        <v>1200</v>
      </c>
      <c r="C4" s="36" t="s">
        <v>24</v>
      </c>
      <c r="D4" s="36" t="s">
        <v>111</v>
      </c>
      <c r="G4" s="42" t="s">
        <v>112</v>
      </c>
      <c r="H4" s="40">
        <v>1530</v>
      </c>
    </row>
    <row r="5" spans="1:9" ht="20.399999999999999" customHeight="1" x14ac:dyDescent="0.3">
      <c r="A5" s="37" t="s">
        <v>26</v>
      </c>
      <c r="B5" s="38">
        <v>1200</v>
      </c>
      <c r="C5" s="39" t="s">
        <v>28</v>
      </c>
      <c r="D5" s="39" t="s">
        <v>111</v>
      </c>
      <c r="G5" s="42" t="s">
        <v>111</v>
      </c>
      <c r="H5" s="40">
        <v>1406.6666666666667</v>
      </c>
    </row>
    <row r="6" spans="1:9" ht="20.399999999999999" customHeight="1" x14ac:dyDescent="0.3">
      <c r="A6" s="34" t="s">
        <v>30</v>
      </c>
      <c r="B6" s="35">
        <v>2500</v>
      </c>
      <c r="C6" s="36" t="s">
        <v>32</v>
      </c>
      <c r="D6" s="36" t="s">
        <v>111</v>
      </c>
      <c r="G6" s="42" t="s">
        <v>114</v>
      </c>
      <c r="H6" s="40">
        <v>1477.1428571428571</v>
      </c>
    </row>
    <row r="7" spans="1:9" ht="20.399999999999999" customHeight="1" x14ac:dyDescent="0.3">
      <c r="A7" s="37" t="s">
        <v>34</v>
      </c>
      <c r="B7" s="38">
        <v>800</v>
      </c>
      <c r="C7" s="39" t="s">
        <v>36</v>
      </c>
      <c r="D7" s="39" t="s">
        <v>111</v>
      </c>
    </row>
    <row r="8" spans="1:9" ht="20.399999999999999" customHeight="1" x14ac:dyDescent="0.3">
      <c r="A8" s="34" t="s">
        <v>38</v>
      </c>
      <c r="B8" s="35">
        <v>800</v>
      </c>
      <c r="C8" s="34"/>
      <c r="D8" s="34" t="s">
        <v>112</v>
      </c>
    </row>
    <row r="9" spans="1:9" ht="20.399999999999999" customHeight="1" x14ac:dyDescent="0.3">
      <c r="A9" s="37" t="s">
        <v>40</v>
      </c>
      <c r="B9" s="38">
        <v>1800</v>
      </c>
      <c r="C9" s="37"/>
      <c r="D9" s="37" t="s">
        <v>112</v>
      </c>
    </row>
    <row r="10" spans="1:9" ht="20.399999999999999" customHeight="1" x14ac:dyDescent="0.3">
      <c r="A10" s="34" t="s">
        <v>44</v>
      </c>
      <c r="B10" s="35">
        <v>800</v>
      </c>
      <c r="C10" s="36" t="s">
        <v>45</v>
      </c>
      <c r="D10" s="36" t="s">
        <v>111</v>
      </c>
    </row>
    <row r="11" spans="1:9" ht="20.399999999999999" customHeight="1" x14ac:dyDescent="0.3">
      <c r="A11" s="37" t="s">
        <v>47</v>
      </c>
      <c r="B11" s="38">
        <v>1200</v>
      </c>
      <c r="C11" s="39" t="s">
        <v>48</v>
      </c>
      <c r="D11" s="39" t="s">
        <v>111</v>
      </c>
    </row>
    <row r="12" spans="1:9" ht="20.399999999999999" customHeight="1" x14ac:dyDescent="0.3">
      <c r="A12" s="34" t="s">
        <v>50</v>
      </c>
      <c r="B12" s="35">
        <v>1200</v>
      </c>
      <c r="C12" s="36" t="s">
        <v>51</v>
      </c>
      <c r="D12" s="36" t="s">
        <v>111</v>
      </c>
    </row>
    <row r="13" spans="1:9" ht="20.399999999999999" customHeight="1" x14ac:dyDescent="0.3">
      <c r="A13" s="37" t="s">
        <v>53</v>
      </c>
      <c r="B13" s="38">
        <v>1200</v>
      </c>
      <c r="C13" s="39" t="s">
        <v>54</v>
      </c>
      <c r="D13" s="39" t="s">
        <v>111</v>
      </c>
    </row>
    <row r="14" spans="1:9" ht="20.399999999999999" customHeight="1" x14ac:dyDescent="0.3">
      <c r="A14" s="34" t="s">
        <v>56</v>
      </c>
      <c r="B14" s="35">
        <v>1800</v>
      </c>
      <c r="C14" s="34"/>
      <c r="D14" s="34" t="s">
        <v>112</v>
      </c>
    </row>
    <row r="15" spans="1:9" ht="20.399999999999999" customHeight="1" x14ac:dyDescent="0.3">
      <c r="A15" s="37" t="s">
        <v>58</v>
      </c>
      <c r="B15" s="38">
        <v>1200</v>
      </c>
      <c r="C15" s="37"/>
      <c r="D15" s="37" t="s">
        <v>112</v>
      </c>
    </row>
    <row r="16" spans="1:9" ht="20.399999999999999" customHeight="1" x14ac:dyDescent="0.3">
      <c r="A16" s="34" t="s">
        <v>60</v>
      </c>
      <c r="B16" s="35">
        <v>800</v>
      </c>
      <c r="C16" s="34"/>
      <c r="D16" s="34" t="s">
        <v>112</v>
      </c>
    </row>
    <row r="17" spans="1:4" ht="20.399999999999999" customHeight="1" x14ac:dyDescent="0.3">
      <c r="A17" s="37" t="s">
        <v>62</v>
      </c>
      <c r="B17" s="38">
        <v>2500</v>
      </c>
      <c r="C17" s="37"/>
      <c r="D17" s="37" t="s">
        <v>112</v>
      </c>
    </row>
    <row r="18" spans="1:4" ht="20.399999999999999" customHeight="1" x14ac:dyDescent="0.3">
      <c r="A18" s="34" t="s">
        <v>64</v>
      </c>
      <c r="B18" s="35">
        <v>1200</v>
      </c>
      <c r="C18" s="34"/>
      <c r="D18" s="34" t="s">
        <v>112</v>
      </c>
    </row>
    <row r="19" spans="1:4" ht="20.399999999999999" customHeight="1" x14ac:dyDescent="0.3">
      <c r="A19" s="37" t="s">
        <v>66</v>
      </c>
      <c r="B19" s="38">
        <v>2500</v>
      </c>
      <c r="C19" s="37"/>
      <c r="D19" s="37" t="s">
        <v>112</v>
      </c>
    </row>
    <row r="20" spans="1:4" ht="20.399999999999999" customHeight="1" x14ac:dyDescent="0.3">
      <c r="A20" s="34" t="s">
        <v>69</v>
      </c>
      <c r="B20" s="35">
        <v>800</v>
      </c>
      <c r="C20" s="34"/>
      <c r="D20" s="34" t="s">
        <v>112</v>
      </c>
    </row>
    <row r="21" spans="1:4" ht="20.399999999999999" customHeight="1" x14ac:dyDescent="0.3">
      <c r="A21" s="37" t="s">
        <v>71</v>
      </c>
      <c r="B21" s="38">
        <v>2500</v>
      </c>
      <c r="C21" s="39" t="s">
        <v>72</v>
      </c>
      <c r="D21" s="39" t="s">
        <v>111</v>
      </c>
    </row>
    <row r="22" spans="1:4" ht="20.399999999999999" customHeight="1" x14ac:dyDescent="0.3">
      <c r="A22" s="34" t="s">
        <v>74</v>
      </c>
      <c r="B22" s="35">
        <v>1800</v>
      </c>
      <c r="C22" s="34"/>
      <c r="D22" s="34" t="s">
        <v>112</v>
      </c>
    </row>
    <row r="23" spans="1:4" ht="20.399999999999999" customHeight="1" x14ac:dyDescent="0.3">
      <c r="A23" s="37" t="s">
        <v>76</v>
      </c>
      <c r="B23" s="38">
        <v>1800</v>
      </c>
      <c r="C23" s="37"/>
      <c r="D23" s="37" t="s">
        <v>112</v>
      </c>
    </row>
    <row r="24" spans="1:4" ht="20.399999999999999" customHeight="1" x14ac:dyDescent="0.3">
      <c r="A24" s="34" t="s">
        <v>78</v>
      </c>
      <c r="B24" s="35">
        <v>1800</v>
      </c>
      <c r="C24" s="34"/>
      <c r="D24" s="34" t="s">
        <v>112</v>
      </c>
    </row>
    <row r="25" spans="1:4" ht="20.399999999999999" customHeight="1" x14ac:dyDescent="0.3">
      <c r="A25" s="37" t="s">
        <v>80</v>
      </c>
      <c r="B25" s="38">
        <v>1200</v>
      </c>
      <c r="C25" s="37"/>
      <c r="D25" s="37" t="s">
        <v>112</v>
      </c>
    </row>
    <row r="26" spans="1:4" ht="20.399999999999999" customHeight="1" x14ac:dyDescent="0.3">
      <c r="A26" s="34" t="s">
        <v>82</v>
      </c>
      <c r="B26" s="35">
        <v>1800</v>
      </c>
      <c r="C26" s="36" t="s">
        <v>83</v>
      </c>
      <c r="D26" s="36" t="s">
        <v>111</v>
      </c>
    </row>
    <row r="27" spans="1:4" ht="20.399999999999999" customHeight="1" x14ac:dyDescent="0.3">
      <c r="A27" s="37" t="s">
        <v>85</v>
      </c>
      <c r="B27" s="38">
        <v>1200</v>
      </c>
      <c r="C27" s="37"/>
      <c r="D27" s="37" t="s">
        <v>112</v>
      </c>
    </row>
    <row r="28" spans="1:4" ht="20.399999999999999" customHeight="1" x14ac:dyDescent="0.3">
      <c r="A28" s="34" t="s">
        <v>87</v>
      </c>
      <c r="B28" s="35">
        <v>2500</v>
      </c>
      <c r="C28" s="34"/>
      <c r="D28" s="34" t="s">
        <v>112</v>
      </c>
    </row>
    <row r="29" spans="1:4" ht="20.399999999999999" customHeight="1" x14ac:dyDescent="0.3">
      <c r="A29" s="37" t="s">
        <v>89</v>
      </c>
      <c r="B29" s="38">
        <v>1200</v>
      </c>
      <c r="C29" s="37"/>
      <c r="D29" s="37" t="s">
        <v>112</v>
      </c>
    </row>
    <row r="30" spans="1:4" ht="20.399999999999999" customHeight="1" x14ac:dyDescent="0.3">
      <c r="A30" s="34" t="s">
        <v>91</v>
      </c>
      <c r="B30" s="35">
        <v>2500</v>
      </c>
      <c r="C30" s="34"/>
      <c r="D30" s="34" t="s">
        <v>112</v>
      </c>
    </row>
    <row r="31" spans="1:4" ht="20.399999999999999" customHeight="1" x14ac:dyDescent="0.3">
      <c r="A31" s="37" t="s">
        <v>93</v>
      </c>
      <c r="B31" s="38">
        <v>2500</v>
      </c>
      <c r="C31" s="39" t="s">
        <v>94</v>
      </c>
      <c r="D31" s="39" t="s">
        <v>111</v>
      </c>
    </row>
    <row r="32" spans="1:4" ht="20.399999999999999" customHeight="1" x14ac:dyDescent="0.3">
      <c r="A32" s="34" t="s">
        <v>96</v>
      </c>
      <c r="B32" s="35">
        <v>800</v>
      </c>
      <c r="C32" s="36" t="s">
        <v>97</v>
      </c>
      <c r="D32" s="36" t="s">
        <v>111</v>
      </c>
    </row>
    <row r="33" spans="1:4" ht="20.399999999999999" customHeight="1" x14ac:dyDescent="0.3">
      <c r="A33" s="37" t="s">
        <v>99</v>
      </c>
      <c r="B33" s="38">
        <v>1200</v>
      </c>
      <c r="C33" s="37"/>
      <c r="D33" s="37" t="s">
        <v>112</v>
      </c>
    </row>
    <row r="34" spans="1:4" ht="20.399999999999999" customHeight="1" x14ac:dyDescent="0.3">
      <c r="A34" s="34" t="s">
        <v>101</v>
      </c>
      <c r="B34" s="35">
        <v>800</v>
      </c>
      <c r="C34" s="34"/>
      <c r="D34" s="34" t="s">
        <v>112</v>
      </c>
    </row>
    <row r="35" spans="1:4" ht="20.399999999999999" customHeight="1" x14ac:dyDescent="0.3">
      <c r="A35" s="37" t="s">
        <v>103</v>
      </c>
      <c r="B35" s="38">
        <v>1800</v>
      </c>
      <c r="C35" s="39" t="s">
        <v>104</v>
      </c>
      <c r="D35" s="39" t="s">
        <v>111</v>
      </c>
    </row>
    <row r="36" spans="1:4" ht="20.399999999999999" customHeight="1" x14ac:dyDescent="0.3">
      <c r="A36" s="34" t="s">
        <v>106</v>
      </c>
      <c r="B36" s="35">
        <v>1200</v>
      </c>
      <c r="C36" s="34"/>
      <c r="D36" s="34"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1B75E-3871-437D-A0EF-DFDD993DDB4F}">
  <dimension ref="A2:H63"/>
  <sheetViews>
    <sheetView showGridLines="0" zoomScale="81" workbookViewId="0">
      <selection activeCell="N10" sqref="N10"/>
    </sheetView>
  </sheetViews>
  <sheetFormatPr defaultRowHeight="14.4" x14ac:dyDescent="0.3"/>
  <cols>
    <col min="1" max="1" width="13.109375" style="51" bestFit="1" customWidth="1"/>
    <col min="2" max="2" width="20.21875" style="51" bestFit="1" customWidth="1"/>
    <col min="3" max="5" width="8.88671875" style="51"/>
    <col min="6" max="7" width="17.21875" style="51" customWidth="1"/>
    <col min="8" max="8" width="11.77734375" style="51" customWidth="1"/>
    <col min="9" max="16384" width="8.88671875" style="51"/>
  </cols>
  <sheetData>
    <row r="2" spans="1:8" ht="15" thickBot="1" x14ac:dyDescent="0.35"/>
    <row r="3" spans="1:8" ht="18.600000000000001" thickBot="1" x14ac:dyDescent="0.4">
      <c r="A3" s="64" t="s">
        <v>113</v>
      </c>
      <c r="B3" s="64" t="s">
        <v>118</v>
      </c>
      <c r="E3" s="52" t="s">
        <v>119</v>
      </c>
    </row>
    <row r="4" spans="1:8" ht="18.600000000000001" thickBot="1" x14ac:dyDescent="0.35">
      <c r="A4" s="65" t="s">
        <v>14</v>
      </c>
      <c r="B4" s="61">
        <v>58863.333333333336</v>
      </c>
      <c r="F4" s="59"/>
      <c r="G4" s="60" t="s">
        <v>120</v>
      </c>
      <c r="H4" s="59"/>
    </row>
    <row r="5" spans="1:8" ht="15" thickBot="1" x14ac:dyDescent="0.35">
      <c r="A5" s="66" t="s">
        <v>13</v>
      </c>
      <c r="B5" s="62">
        <v>5066.6666666666661</v>
      </c>
    </row>
    <row r="6" spans="1:8" ht="15" thickBot="1" x14ac:dyDescent="0.35">
      <c r="A6" s="67" t="s">
        <v>111</v>
      </c>
      <c r="B6" s="62">
        <v>5066.6666666666661</v>
      </c>
    </row>
    <row r="7" spans="1:8" ht="15" thickBot="1" x14ac:dyDescent="0.35">
      <c r="A7" s="66" t="s">
        <v>31</v>
      </c>
      <c r="B7" s="62">
        <v>17916.666666666668</v>
      </c>
    </row>
    <row r="8" spans="1:8" ht="21.6" thickBot="1" x14ac:dyDescent="0.45">
      <c r="A8" s="67" t="s">
        <v>111</v>
      </c>
      <c r="B8" s="62">
        <v>17916.666666666668</v>
      </c>
      <c r="F8" s="57" t="s">
        <v>122</v>
      </c>
      <c r="G8" s="58"/>
      <c r="H8" s="58"/>
    </row>
    <row r="9" spans="1:8" ht="15" thickBot="1" x14ac:dyDescent="0.35">
      <c r="A9" s="66" t="s">
        <v>41</v>
      </c>
      <c r="B9" s="62">
        <v>17760</v>
      </c>
    </row>
    <row r="10" spans="1:8" ht="15" thickBot="1" x14ac:dyDescent="0.35">
      <c r="A10" s="67" t="s">
        <v>112</v>
      </c>
      <c r="B10" s="62">
        <v>17760</v>
      </c>
      <c r="F10" s="53" t="s">
        <v>113</v>
      </c>
      <c r="G10" s="53" t="s">
        <v>121</v>
      </c>
    </row>
    <row r="11" spans="1:8" ht="15" thickBot="1" x14ac:dyDescent="0.35">
      <c r="A11" s="66" t="s">
        <v>22</v>
      </c>
      <c r="B11" s="62">
        <v>18120</v>
      </c>
      <c r="F11" s="54" t="s">
        <v>13</v>
      </c>
      <c r="G11" s="53">
        <v>4500.7407407407409</v>
      </c>
    </row>
    <row r="12" spans="1:8" x14ac:dyDescent="0.3">
      <c r="A12" s="68" t="s">
        <v>112</v>
      </c>
      <c r="B12" s="62">
        <v>11640</v>
      </c>
      <c r="F12" s="54" t="s">
        <v>31</v>
      </c>
      <c r="G12" s="53">
        <v>11726.190476190475</v>
      </c>
    </row>
    <row r="13" spans="1:8" ht="15" thickBot="1" x14ac:dyDescent="0.35">
      <c r="A13" s="69" t="s">
        <v>111</v>
      </c>
      <c r="B13" s="62">
        <v>6480</v>
      </c>
      <c r="F13" s="54" t="s">
        <v>41</v>
      </c>
      <c r="G13" s="53">
        <v>10671.428571428571</v>
      </c>
    </row>
    <row r="14" spans="1:8" ht="15" thickBot="1" x14ac:dyDescent="0.35">
      <c r="A14" s="65" t="s">
        <v>67</v>
      </c>
      <c r="B14" s="62">
        <v>52720</v>
      </c>
      <c r="F14" s="54" t="s">
        <v>22</v>
      </c>
      <c r="G14" s="53">
        <v>7916.666666666667</v>
      </c>
    </row>
    <row r="15" spans="1:8" ht="15" thickBot="1" x14ac:dyDescent="0.35">
      <c r="A15" s="66" t="s">
        <v>13</v>
      </c>
      <c r="B15" s="62">
        <v>15146.666666666666</v>
      </c>
      <c r="F15" s="54" t="s">
        <v>114</v>
      </c>
      <c r="G15" s="53">
        <v>8351.1428571428569</v>
      </c>
    </row>
    <row r="16" spans="1:8" ht="15" thickBot="1" x14ac:dyDescent="0.35">
      <c r="A16" s="67" t="s">
        <v>111</v>
      </c>
      <c r="B16" s="62">
        <v>15146.666666666666</v>
      </c>
    </row>
    <row r="17" spans="1:2" ht="15" thickBot="1" x14ac:dyDescent="0.35">
      <c r="A17" s="66" t="s">
        <v>31</v>
      </c>
      <c r="B17" s="62">
        <v>36333.333333333336</v>
      </c>
    </row>
    <row r="18" spans="1:2" ht="15" thickBot="1" x14ac:dyDescent="0.35">
      <c r="A18" s="67" t="s">
        <v>112</v>
      </c>
      <c r="B18" s="62">
        <v>36333.333333333336</v>
      </c>
    </row>
    <row r="19" spans="1:2" ht="15" thickBot="1" x14ac:dyDescent="0.35">
      <c r="A19" s="66" t="s">
        <v>41</v>
      </c>
      <c r="B19" s="62">
        <v>240</v>
      </c>
    </row>
    <row r="20" spans="1:2" ht="15" thickBot="1" x14ac:dyDescent="0.35">
      <c r="A20" s="67" t="s">
        <v>112</v>
      </c>
      <c r="B20" s="62">
        <v>240</v>
      </c>
    </row>
    <row r="21" spans="1:2" ht="15" thickBot="1" x14ac:dyDescent="0.35">
      <c r="A21" s="66" t="s">
        <v>22</v>
      </c>
      <c r="B21" s="62">
        <v>1000</v>
      </c>
    </row>
    <row r="22" spans="1:2" ht="15" thickBot="1" x14ac:dyDescent="0.35">
      <c r="A22" s="67" t="s">
        <v>112</v>
      </c>
      <c r="B22" s="62">
        <v>1000</v>
      </c>
    </row>
    <row r="23" spans="1:2" ht="15" thickBot="1" x14ac:dyDescent="0.35">
      <c r="A23" s="65" t="s">
        <v>23</v>
      </c>
      <c r="B23" s="62">
        <v>31863.333333333332</v>
      </c>
    </row>
    <row r="24" spans="1:2" ht="15" thickBot="1" x14ac:dyDescent="0.35">
      <c r="A24" s="66" t="s">
        <v>13</v>
      </c>
      <c r="B24" s="62">
        <v>5520</v>
      </c>
    </row>
    <row r="25" spans="1:2" ht="15" thickBot="1" x14ac:dyDescent="0.35">
      <c r="A25" s="67" t="s">
        <v>112</v>
      </c>
      <c r="B25" s="62">
        <v>5520</v>
      </c>
    </row>
    <row r="26" spans="1:2" ht="15" thickBot="1" x14ac:dyDescent="0.35">
      <c r="A26" s="66" t="s">
        <v>31</v>
      </c>
      <c r="B26" s="62">
        <v>583.33333333333337</v>
      </c>
    </row>
    <row r="27" spans="1:2" ht="15" thickBot="1" x14ac:dyDescent="0.35">
      <c r="A27" s="67" t="s">
        <v>112</v>
      </c>
      <c r="B27" s="62">
        <v>583.33333333333337</v>
      </c>
    </row>
    <row r="28" spans="1:2" ht="15" thickBot="1" x14ac:dyDescent="0.35">
      <c r="A28" s="66" t="s">
        <v>22</v>
      </c>
      <c r="B28" s="62">
        <v>25760</v>
      </c>
    </row>
    <row r="29" spans="1:2" x14ac:dyDescent="0.3">
      <c r="A29" s="68" t="s">
        <v>112</v>
      </c>
      <c r="B29" s="62">
        <v>14240</v>
      </c>
    </row>
    <row r="30" spans="1:2" ht="15" thickBot="1" x14ac:dyDescent="0.35">
      <c r="A30" s="69" t="s">
        <v>111</v>
      </c>
      <c r="B30" s="62">
        <v>11520</v>
      </c>
    </row>
    <row r="31" spans="1:2" ht="15" thickBot="1" x14ac:dyDescent="0.35">
      <c r="A31" s="65" t="s">
        <v>42</v>
      </c>
      <c r="B31" s="62">
        <v>37786.666666666664</v>
      </c>
    </row>
    <row r="32" spans="1:2" ht="15" thickBot="1" x14ac:dyDescent="0.35">
      <c r="A32" s="66" t="s">
        <v>13</v>
      </c>
      <c r="B32" s="62">
        <v>346.66666666666669</v>
      </c>
    </row>
    <row r="33" spans="1:2" ht="15" thickBot="1" x14ac:dyDescent="0.35">
      <c r="A33" s="67" t="s">
        <v>111</v>
      </c>
      <c r="B33" s="62">
        <v>346.66666666666669</v>
      </c>
    </row>
    <row r="34" spans="1:2" ht="15" thickBot="1" x14ac:dyDescent="0.35">
      <c r="A34" s="66" t="s">
        <v>31</v>
      </c>
      <c r="B34" s="62">
        <v>9000</v>
      </c>
    </row>
    <row r="35" spans="1:2" x14ac:dyDescent="0.3">
      <c r="A35" s="68" t="s">
        <v>112</v>
      </c>
      <c r="B35" s="62">
        <v>2500</v>
      </c>
    </row>
    <row r="36" spans="1:2" ht="15" thickBot="1" x14ac:dyDescent="0.35">
      <c r="A36" s="69" t="s">
        <v>111</v>
      </c>
      <c r="B36" s="62">
        <v>6500</v>
      </c>
    </row>
    <row r="37" spans="1:2" ht="15" thickBot="1" x14ac:dyDescent="0.35">
      <c r="A37" s="66" t="s">
        <v>41</v>
      </c>
      <c r="B37" s="62">
        <v>11880</v>
      </c>
    </row>
    <row r="38" spans="1:2" ht="15" thickBot="1" x14ac:dyDescent="0.35">
      <c r="A38" s="67" t="s">
        <v>112</v>
      </c>
      <c r="B38" s="62">
        <v>11880</v>
      </c>
    </row>
    <row r="39" spans="1:2" ht="15" thickBot="1" x14ac:dyDescent="0.35">
      <c r="A39" s="66" t="s">
        <v>22</v>
      </c>
      <c r="B39" s="62">
        <v>16560</v>
      </c>
    </row>
    <row r="40" spans="1:2" ht="15" thickBot="1" x14ac:dyDescent="0.35">
      <c r="A40" s="67" t="s">
        <v>111</v>
      </c>
      <c r="B40" s="62">
        <v>16560</v>
      </c>
    </row>
    <row r="41" spans="1:2" ht="15" thickBot="1" x14ac:dyDescent="0.35">
      <c r="A41" s="65" t="s">
        <v>35</v>
      </c>
      <c r="B41" s="62">
        <v>85170</v>
      </c>
    </row>
    <row r="42" spans="1:2" ht="15" thickBot="1" x14ac:dyDescent="0.35">
      <c r="A42" s="66" t="s">
        <v>13</v>
      </c>
      <c r="B42" s="62">
        <v>11360.000000000002</v>
      </c>
    </row>
    <row r="43" spans="1:2" x14ac:dyDescent="0.3">
      <c r="A43" s="68" t="s">
        <v>112</v>
      </c>
      <c r="B43" s="62">
        <v>9360.0000000000018</v>
      </c>
    </row>
    <row r="44" spans="1:2" ht="15" thickBot="1" x14ac:dyDescent="0.35">
      <c r="A44" s="69" t="s">
        <v>111</v>
      </c>
      <c r="B44" s="62">
        <v>2000</v>
      </c>
    </row>
    <row r="45" spans="1:2" ht="15" thickBot="1" x14ac:dyDescent="0.35">
      <c r="A45" s="66" t="s">
        <v>31</v>
      </c>
      <c r="B45" s="62">
        <v>18250</v>
      </c>
    </row>
    <row r="46" spans="1:2" x14ac:dyDescent="0.3">
      <c r="A46" s="68" t="s">
        <v>112</v>
      </c>
      <c r="B46" s="62">
        <v>2333.3333333333335</v>
      </c>
    </row>
    <row r="47" spans="1:2" ht="15" thickBot="1" x14ac:dyDescent="0.35">
      <c r="A47" s="69" t="s">
        <v>111</v>
      </c>
      <c r="B47" s="62">
        <v>15916.666666666666</v>
      </c>
    </row>
    <row r="48" spans="1:2" ht="15" thickBot="1" x14ac:dyDescent="0.35">
      <c r="A48" s="66" t="s">
        <v>41</v>
      </c>
      <c r="B48" s="62">
        <v>36840</v>
      </c>
    </row>
    <row r="49" spans="1:2" x14ac:dyDescent="0.3">
      <c r="A49" s="68" t="s">
        <v>112</v>
      </c>
      <c r="B49" s="62">
        <v>31680.000000000004</v>
      </c>
    </row>
    <row r="50" spans="1:2" ht="15" thickBot="1" x14ac:dyDescent="0.35">
      <c r="A50" s="69" t="s">
        <v>111</v>
      </c>
      <c r="B50" s="62">
        <v>5160</v>
      </c>
    </row>
    <row r="51" spans="1:2" ht="15" thickBot="1" x14ac:dyDescent="0.35">
      <c r="A51" s="66" t="s">
        <v>22</v>
      </c>
      <c r="B51" s="62">
        <v>18720</v>
      </c>
    </row>
    <row r="52" spans="1:2" x14ac:dyDescent="0.3">
      <c r="A52" s="68" t="s">
        <v>112</v>
      </c>
      <c r="B52" s="62">
        <v>15600</v>
      </c>
    </row>
    <row r="53" spans="1:2" ht="15" thickBot="1" x14ac:dyDescent="0.35">
      <c r="A53" s="69" t="s">
        <v>111</v>
      </c>
      <c r="B53" s="62">
        <v>3120</v>
      </c>
    </row>
    <row r="54" spans="1:2" ht="15" thickBot="1" x14ac:dyDescent="0.35">
      <c r="A54" s="65" t="s">
        <v>18</v>
      </c>
      <c r="B54" s="62">
        <v>25886.666666666668</v>
      </c>
    </row>
    <row r="55" spans="1:2" ht="15" thickBot="1" x14ac:dyDescent="0.35">
      <c r="A55" s="66" t="s">
        <v>13</v>
      </c>
      <c r="B55" s="62">
        <v>3066.666666666667</v>
      </c>
    </row>
    <row r="56" spans="1:2" x14ac:dyDescent="0.3">
      <c r="A56" s="68" t="s">
        <v>112</v>
      </c>
      <c r="B56" s="62">
        <v>2373.3333333333335</v>
      </c>
    </row>
    <row r="57" spans="1:2" ht="15" thickBot="1" x14ac:dyDescent="0.35">
      <c r="A57" s="69" t="s">
        <v>111</v>
      </c>
      <c r="B57" s="62">
        <v>693.33333333333337</v>
      </c>
    </row>
    <row r="58" spans="1:2" ht="15" thickBot="1" x14ac:dyDescent="0.35">
      <c r="A58" s="66" t="s">
        <v>41</v>
      </c>
      <c r="B58" s="62">
        <v>7980</v>
      </c>
    </row>
    <row r="59" spans="1:2" ht="15" thickBot="1" x14ac:dyDescent="0.35">
      <c r="A59" s="67" t="s">
        <v>111</v>
      </c>
      <c r="B59" s="62">
        <v>7980</v>
      </c>
    </row>
    <row r="60" spans="1:2" ht="15" thickBot="1" x14ac:dyDescent="0.35">
      <c r="A60" s="66" t="s">
        <v>22</v>
      </c>
      <c r="B60" s="62">
        <v>14840</v>
      </c>
    </row>
    <row r="61" spans="1:2" ht="15" thickBot="1" x14ac:dyDescent="0.35">
      <c r="A61" s="67" t="s">
        <v>112</v>
      </c>
      <c r="B61" s="62">
        <v>14840</v>
      </c>
    </row>
    <row r="62" spans="1:2" ht="15" thickBot="1" x14ac:dyDescent="0.35">
      <c r="A62" s="65" t="s">
        <v>114</v>
      </c>
      <c r="B62" s="63">
        <v>292290</v>
      </c>
    </row>
    <row r="63" spans="1:2" ht="15" thickBot="1" x14ac:dyDescent="0.35">
      <c r="A63" s="55"/>
      <c r="B63" s="56"/>
    </row>
  </sheetData>
  <conditionalFormatting sqref="B3">
    <cfRule type="top10" dxfId="3005" priority="2" rank="1"/>
  </conditionalFormatting>
  <conditionalFormatting pivot="1" sqref="B17">
    <cfRule type="top10" dxfId="3004" priority="1" rank="1"/>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0121-5EAE-4E24-9833-191A820D451E}">
  <dimension ref="B5:C12"/>
  <sheetViews>
    <sheetView topLeftCell="A2" zoomScale="107" workbookViewId="0">
      <selection activeCell="U10" sqref="U10"/>
    </sheetView>
  </sheetViews>
  <sheetFormatPr defaultRowHeight="14.4" x14ac:dyDescent="0.3"/>
  <cols>
    <col min="2" max="2" width="12.5546875" bestFit="1" customWidth="1"/>
    <col min="3" max="3" width="15" bestFit="1" customWidth="1"/>
    <col min="4" max="4" width="5.21875" bestFit="1" customWidth="1"/>
    <col min="5" max="5" width="10.77734375" bestFit="1" customWidth="1"/>
    <col min="6" max="6" width="7.33203125" bestFit="1" customWidth="1"/>
    <col min="7" max="7" width="8.109375" bestFit="1" customWidth="1"/>
    <col min="8" max="8" width="5.33203125" bestFit="1" customWidth="1"/>
    <col min="9" max="9" width="10.77734375" bestFit="1" customWidth="1"/>
    <col min="12" max="12" width="12.5546875" bestFit="1" customWidth="1"/>
    <col min="13" max="13" width="15.5546875" bestFit="1" customWidth="1"/>
    <col min="14" max="14" width="6.44140625" bestFit="1" customWidth="1"/>
    <col min="15" max="16" width="8.6640625" bestFit="1" customWidth="1"/>
    <col min="17" max="17" width="10.77734375" bestFit="1" customWidth="1"/>
    <col min="18" max="19" width="15.5546875" bestFit="1" customWidth="1"/>
    <col min="20" max="20" width="9.88671875" bestFit="1" customWidth="1"/>
    <col min="21" max="27" width="8.44140625" bestFit="1" customWidth="1"/>
    <col min="28" max="28" width="11.109375" bestFit="1" customWidth="1"/>
    <col min="29" max="34" width="10.6640625" bestFit="1" customWidth="1"/>
    <col min="35" max="35" width="13.44140625" bestFit="1" customWidth="1"/>
    <col min="36" max="47" width="10.6640625" bestFit="1" customWidth="1"/>
    <col min="48" max="48" width="13.44140625" bestFit="1" customWidth="1"/>
    <col min="49" max="49" width="10.77734375" bestFit="1" customWidth="1"/>
  </cols>
  <sheetData>
    <row r="5" spans="2:3" x14ac:dyDescent="0.3">
      <c r="B5" s="48" t="s">
        <v>113</v>
      </c>
      <c r="C5" t="s">
        <v>123</v>
      </c>
    </row>
    <row r="6" spans="2:3" x14ac:dyDescent="0.3">
      <c r="B6" s="49" t="s">
        <v>14</v>
      </c>
      <c r="C6" s="50">
        <v>5</v>
      </c>
    </row>
    <row r="7" spans="2:3" x14ac:dyDescent="0.3">
      <c r="B7" s="49" t="s">
        <v>67</v>
      </c>
      <c r="C7" s="50">
        <v>4</v>
      </c>
    </row>
    <row r="8" spans="2:3" x14ac:dyDescent="0.3">
      <c r="B8" s="49" t="s">
        <v>23</v>
      </c>
      <c r="C8" s="50">
        <v>5</v>
      </c>
    </row>
    <row r="9" spans="2:3" x14ac:dyDescent="0.3">
      <c r="B9" s="49" t="s">
        <v>42</v>
      </c>
      <c r="C9" s="50">
        <v>6</v>
      </c>
    </row>
    <row r="10" spans="2:3" x14ac:dyDescent="0.3">
      <c r="B10" s="49" t="s">
        <v>35</v>
      </c>
      <c r="C10" s="50">
        <v>10</v>
      </c>
    </row>
    <row r="11" spans="2:3" x14ac:dyDescent="0.3">
      <c r="B11" s="49" t="s">
        <v>18</v>
      </c>
      <c r="C11" s="50">
        <v>5</v>
      </c>
    </row>
    <row r="12" spans="2:3" x14ac:dyDescent="0.3">
      <c r="B12" s="49" t="s">
        <v>114</v>
      </c>
      <c r="C12" s="50">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Raw Data</vt:lpstr>
      <vt:lpstr>Task 1</vt:lpstr>
      <vt:lpstr>Task 3</vt:lpstr>
      <vt:lpstr>Task 3 Pivot table</vt:lpstr>
      <vt:lpstr>Task 4</vt:lpstr>
      <vt:lpstr>Task 2</vt:lpstr>
      <vt:lpstr>Task 5</vt:lpstr>
      <vt:lpstr>Task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 z</dc:creator>
  <cp:lastModifiedBy>Mahi z</cp:lastModifiedBy>
  <dcterms:created xsi:type="dcterms:W3CDTF">2025-12-13T05:16:40Z</dcterms:created>
  <dcterms:modified xsi:type="dcterms:W3CDTF">2025-12-15T07:56:40Z</dcterms:modified>
</cp:coreProperties>
</file>